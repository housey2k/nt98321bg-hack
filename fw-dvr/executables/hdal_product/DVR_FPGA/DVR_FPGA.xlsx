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vt03653\Desktop\"/>
    </mc:Choice>
  </mc:AlternateContent>
  <bookViews>
    <workbookView xWindow="11505" yWindow="225" windowWidth="11550" windowHeight="9345" tabRatio="604"/>
  </bookViews>
  <sheets>
    <sheet name="Overview" sheetId="5" r:id="rId1"/>
    <sheet name="Pool Memory" sheetId="30" r:id="rId2"/>
    <sheet name="Display" sheetId="26" r:id="rId3"/>
    <sheet name="Encode" sheetId="24" r:id="rId4"/>
    <sheet name="Decode" sheetId="25" r:id="rId5"/>
    <sheet name="Audio" sheetId="27" r:id="rId6"/>
    <sheet name="DispEncode" sheetId="28" r:id="rId7"/>
    <sheet name="MotionDetection" sheetId="29" r:id="rId8"/>
    <sheet name="Video Flow" sheetId="23" r:id="rId9"/>
  </sheets>
  <definedNames>
    <definedName name="aa">Overview!$E$8:$E$10</definedName>
  </definedNames>
  <calcPr calcId="162913"/>
</workbook>
</file>

<file path=xl/calcChain.xml><?xml version="1.0" encoding="utf-8"?>
<calcChain xmlns="http://schemas.openxmlformats.org/spreadsheetml/2006/main">
  <c r="N30" i="25" l="1"/>
  <c r="J30" i="25"/>
  <c r="F30" i="25"/>
  <c r="B30" i="25"/>
  <c r="C30" i="25"/>
  <c r="C13" i="25"/>
  <c r="P31" i="30" l="1"/>
  <c r="L31" i="30"/>
  <c r="H31" i="30"/>
  <c r="D31" i="30"/>
  <c r="N7" i="30"/>
  <c r="P7" i="30" s="1"/>
  <c r="J7" i="30"/>
  <c r="L7" i="30" s="1"/>
  <c r="F7" i="30"/>
  <c r="H7" i="30" s="1"/>
  <c r="B7" i="30"/>
  <c r="D7" i="30" s="1"/>
  <c r="F4" i="25" l="1"/>
  <c r="N35" i="25" l="1"/>
  <c r="J35" i="25"/>
  <c r="F35" i="25"/>
  <c r="N18" i="25"/>
  <c r="J18" i="25"/>
  <c r="F18" i="25"/>
  <c r="N31" i="25"/>
  <c r="J31" i="25"/>
  <c r="F31" i="25"/>
  <c r="N14" i="25"/>
  <c r="J14" i="25"/>
  <c r="F14" i="25"/>
  <c r="G60" i="26" l="1"/>
  <c r="G36" i="26"/>
  <c r="G12" i="26"/>
  <c r="B78" i="24"/>
  <c r="O57" i="24" l="1"/>
  <c r="K57" i="24"/>
  <c r="G57" i="24"/>
  <c r="O38" i="24"/>
  <c r="K38" i="24"/>
  <c r="G38" i="24"/>
  <c r="O19" i="24"/>
  <c r="K19" i="24"/>
  <c r="G19" i="24"/>
  <c r="C57" i="24"/>
  <c r="C38" i="24"/>
  <c r="C19" i="24"/>
  <c r="C4" i="26" l="1"/>
  <c r="C28" i="26"/>
  <c r="C52" i="26"/>
  <c r="B23" i="24" l="1"/>
  <c r="B38" i="24" s="1"/>
  <c r="B25" i="25" l="1"/>
  <c r="B31" i="25" s="1"/>
  <c r="B8" i="25"/>
  <c r="B14" i="25" s="1"/>
  <c r="B18" i="25" s="1"/>
  <c r="B35" i="25" l="1"/>
  <c r="C64" i="26"/>
  <c r="C63" i="26"/>
  <c r="C39" i="26"/>
  <c r="C16" i="26"/>
  <c r="C15" i="26"/>
  <c r="C40" i="26" l="1"/>
  <c r="F10" i="29" l="1"/>
  <c r="N61" i="24" l="1"/>
  <c r="J61" i="24"/>
  <c r="F61" i="24"/>
  <c r="N4" i="24"/>
  <c r="J4" i="24"/>
  <c r="F4" i="24"/>
  <c r="N6" i="25"/>
  <c r="J6" i="25"/>
  <c r="F6" i="25"/>
  <c r="F20" i="24" l="1"/>
  <c r="G11" i="30" s="1"/>
  <c r="J20" i="24"/>
  <c r="K11" i="30" s="1"/>
  <c r="N20" i="24"/>
  <c r="O11" i="30" s="1"/>
  <c r="N79" i="24"/>
  <c r="J79" i="24"/>
  <c r="F79" i="24"/>
  <c r="C59" i="26" l="1"/>
  <c r="C60" i="26"/>
  <c r="C35" i="26"/>
  <c r="C36" i="26"/>
  <c r="C11" i="26"/>
  <c r="C12" i="26"/>
  <c r="B4" i="28" l="1"/>
  <c r="B18" i="28" s="1"/>
  <c r="C53" i="26"/>
  <c r="C29" i="26"/>
  <c r="C5" i="26"/>
  <c r="C14" i="26"/>
  <c r="B6" i="25"/>
  <c r="B7" i="28"/>
  <c r="B4" i="24"/>
  <c r="B20" i="24" l="1"/>
  <c r="C11" i="30" s="1"/>
  <c r="P32" i="30"/>
  <c r="P30" i="30"/>
  <c r="L32" i="30"/>
  <c r="L30" i="30"/>
  <c r="H32" i="30"/>
  <c r="H30" i="30"/>
  <c r="N10" i="29"/>
  <c r="O28" i="30" s="1"/>
  <c r="J10" i="29"/>
  <c r="K28" i="30" s="1"/>
  <c r="N6" i="29"/>
  <c r="N8" i="29" s="1"/>
  <c r="J6" i="29"/>
  <c r="J8" i="29" s="1"/>
  <c r="J9" i="29" s="1"/>
  <c r="J28" i="30" s="1"/>
  <c r="F6" i="29"/>
  <c r="F8" i="29" s="1"/>
  <c r="N64" i="24"/>
  <c r="N63" i="24"/>
  <c r="N62" i="24"/>
  <c r="J64" i="24"/>
  <c r="J63" i="24"/>
  <c r="J62" i="24"/>
  <c r="F64" i="24"/>
  <c r="F63" i="24"/>
  <c r="F62" i="24"/>
  <c r="B64" i="24"/>
  <c r="B63" i="24"/>
  <c r="B62" i="24"/>
  <c r="B61" i="24"/>
  <c r="D32" i="30"/>
  <c r="D30" i="30"/>
  <c r="B6" i="29"/>
  <c r="B8" i="29" s="1"/>
  <c r="N18" i="24"/>
  <c r="O10" i="30" s="1"/>
  <c r="J18" i="24"/>
  <c r="K10" i="30" s="1"/>
  <c r="F18" i="24"/>
  <c r="G10" i="30" s="1"/>
  <c r="B18" i="24"/>
  <c r="C10" i="30" s="1"/>
  <c r="B6" i="28"/>
  <c r="B5" i="28"/>
  <c r="B22" i="27"/>
  <c r="B27" i="30" s="1"/>
  <c r="D27" i="30" s="1"/>
  <c r="B4" i="27"/>
  <c r="B12" i="27" s="1"/>
  <c r="B26" i="30" s="1"/>
  <c r="D26" i="30" s="1"/>
  <c r="B5" i="27"/>
  <c r="C54" i="26"/>
  <c r="C70" i="26"/>
  <c r="B24" i="30" s="1"/>
  <c r="D24" i="30" s="1"/>
  <c r="C31" i="26"/>
  <c r="C30" i="26"/>
  <c r="C7" i="26"/>
  <c r="C6" i="26"/>
  <c r="B4" i="25"/>
  <c r="J4" i="25"/>
  <c r="J15" i="25" s="1"/>
  <c r="N4" i="25"/>
  <c r="N15" i="25" s="1"/>
  <c r="B5" i="25"/>
  <c r="F5" i="25"/>
  <c r="J5" i="25"/>
  <c r="N5" i="25"/>
  <c r="B10" i="25"/>
  <c r="F10" i="25"/>
  <c r="J10" i="25"/>
  <c r="N10" i="25"/>
  <c r="B21" i="25"/>
  <c r="B32" i="25" s="1"/>
  <c r="F21" i="25"/>
  <c r="J21" i="25"/>
  <c r="N21" i="25"/>
  <c r="B22" i="25"/>
  <c r="F22" i="25"/>
  <c r="J22" i="25"/>
  <c r="N22" i="25"/>
  <c r="B23" i="25"/>
  <c r="F23" i="25"/>
  <c r="J23" i="25"/>
  <c r="N23" i="25"/>
  <c r="B27" i="25"/>
  <c r="F27" i="25"/>
  <c r="J27" i="25"/>
  <c r="N27" i="25"/>
  <c r="B5" i="24"/>
  <c r="B17" i="24" s="1"/>
  <c r="F5" i="24"/>
  <c r="J5" i="24"/>
  <c r="N5" i="24"/>
  <c r="B6" i="24"/>
  <c r="F6" i="24"/>
  <c r="J6" i="24"/>
  <c r="N6" i="24"/>
  <c r="B7" i="24"/>
  <c r="B39" i="24"/>
  <c r="C13" i="30" s="1"/>
  <c r="F23" i="24"/>
  <c r="J23" i="24"/>
  <c r="N23" i="24"/>
  <c r="B24" i="24"/>
  <c r="F24" i="24"/>
  <c r="J24" i="24"/>
  <c r="N24" i="24"/>
  <c r="B25" i="24"/>
  <c r="F25" i="24"/>
  <c r="J25" i="24"/>
  <c r="N25" i="24"/>
  <c r="B26" i="24"/>
  <c r="F26" i="24"/>
  <c r="J26" i="24"/>
  <c r="N26" i="24"/>
  <c r="B42" i="24"/>
  <c r="F42" i="24"/>
  <c r="J42" i="24"/>
  <c r="N42" i="24"/>
  <c r="B43" i="24"/>
  <c r="F43" i="24"/>
  <c r="J43" i="24"/>
  <c r="N43" i="24"/>
  <c r="B44" i="24"/>
  <c r="F44" i="24"/>
  <c r="J44" i="24"/>
  <c r="N44" i="24"/>
  <c r="B45" i="24"/>
  <c r="F45" i="24"/>
  <c r="J45" i="24"/>
  <c r="N45" i="24"/>
  <c r="B79" i="24"/>
  <c r="J7" i="29"/>
  <c r="B13" i="25" l="1"/>
  <c r="B17" i="25" s="1"/>
  <c r="B34" i="25"/>
  <c r="F13" i="25"/>
  <c r="F17" i="25" s="1"/>
  <c r="J13" i="25"/>
  <c r="J17" i="25" s="1"/>
  <c r="N13" i="25"/>
  <c r="N17" i="25" s="1"/>
  <c r="J19" i="24"/>
  <c r="J39" i="24"/>
  <c r="K13" i="30" s="1"/>
  <c r="J38" i="24"/>
  <c r="F58" i="24"/>
  <c r="G15" i="30" s="1"/>
  <c r="F57" i="24"/>
  <c r="N39" i="24"/>
  <c r="O13" i="30" s="1"/>
  <c r="N38" i="24"/>
  <c r="N58" i="24"/>
  <c r="O15" i="30" s="1"/>
  <c r="N57" i="24"/>
  <c r="F39" i="24"/>
  <c r="G13" i="30" s="1"/>
  <c r="F38" i="24"/>
  <c r="J58" i="24"/>
  <c r="K15" i="30" s="1"/>
  <c r="J57" i="24"/>
  <c r="N19" i="24"/>
  <c r="B19" i="24"/>
  <c r="B58" i="24"/>
  <c r="C15" i="30" s="1"/>
  <c r="B57" i="24"/>
  <c r="F19" i="24"/>
  <c r="N67" i="24"/>
  <c r="N68" i="24" s="1"/>
  <c r="N16" i="30" s="1"/>
  <c r="P16" i="30" s="1"/>
  <c r="J67" i="24"/>
  <c r="J68" i="24" s="1"/>
  <c r="J16" i="30" s="1"/>
  <c r="L16" i="30" s="1"/>
  <c r="F67" i="24"/>
  <c r="F68" i="24" s="1"/>
  <c r="F16" i="30" s="1"/>
  <c r="H16" i="30" s="1"/>
  <c r="B67" i="24"/>
  <c r="B68" i="24" s="1"/>
  <c r="N17" i="24"/>
  <c r="J32" i="25"/>
  <c r="J33" i="25" s="1"/>
  <c r="N32" i="25"/>
  <c r="N33" i="25" s="1"/>
  <c r="F32" i="25"/>
  <c r="F33" i="25" s="1"/>
  <c r="N34" i="25"/>
  <c r="J34" i="25"/>
  <c r="F34" i="25"/>
  <c r="J54" i="24"/>
  <c r="F15" i="25"/>
  <c r="F16" i="25" s="1"/>
  <c r="B15" i="25"/>
  <c r="C72" i="26"/>
  <c r="F7" i="29"/>
  <c r="F9" i="29" s="1"/>
  <c r="F28" i="30" s="1"/>
  <c r="N7" i="29"/>
  <c r="N9" i="29" s="1"/>
  <c r="N28" i="30" s="1"/>
  <c r="N54" i="24"/>
  <c r="N35" i="24"/>
  <c r="O29" i="30"/>
  <c r="N33" i="24"/>
  <c r="N34" i="24" s="1"/>
  <c r="N36" i="24"/>
  <c r="N16" i="25"/>
  <c r="F16" i="24"/>
  <c r="F14" i="24"/>
  <c r="J35" i="24"/>
  <c r="K29" i="30"/>
  <c r="J36" i="24"/>
  <c r="J33" i="24"/>
  <c r="J34" i="24" s="1"/>
  <c r="N16" i="24"/>
  <c r="N14" i="24"/>
  <c r="J16" i="25"/>
  <c r="B7" i="29"/>
  <c r="B9" i="29" s="1"/>
  <c r="B28" i="30" s="1"/>
  <c r="F54" i="24"/>
  <c r="F35" i="24"/>
  <c r="F36" i="24"/>
  <c r="F33" i="24"/>
  <c r="F34" i="24" s="1"/>
  <c r="J16" i="24"/>
  <c r="J14" i="24"/>
  <c r="B37" i="24"/>
  <c r="C12" i="30" s="1"/>
  <c r="J7" i="24"/>
  <c r="F7" i="24"/>
  <c r="N7" i="24"/>
  <c r="N56" i="24"/>
  <c r="O14" i="30" s="1"/>
  <c r="N55" i="24"/>
  <c r="N52" i="24"/>
  <c r="N53" i="24" s="1"/>
  <c r="J56" i="24"/>
  <c r="K14" i="30" s="1"/>
  <c r="J52" i="24"/>
  <c r="J53" i="24" s="1"/>
  <c r="J55" i="24"/>
  <c r="F56" i="24"/>
  <c r="G14" i="30" s="1"/>
  <c r="F52" i="24"/>
  <c r="F53" i="24" s="1"/>
  <c r="F55" i="24"/>
  <c r="L28" i="30"/>
  <c r="B56" i="24"/>
  <c r="C14" i="30" s="1"/>
  <c r="J17" i="24"/>
  <c r="J37" i="24"/>
  <c r="K12" i="30" s="1"/>
  <c r="G37" i="26"/>
  <c r="C45" i="26" s="1"/>
  <c r="B20" i="30" s="1"/>
  <c r="B14" i="24"/>
  <c r="B15" i="24" s="1"/>
  <c r="B15" i="28"/>
  <c r="B17" i="28"/>
  <c r="B16" i="28"/>
  <c r="C23" i="26"/>
  <c r="C25" i="26" s="1"/>
  <c r="C24" i="26"/>
  <c r="C22" i="26"/>
  <c r="B18" i="30" s="1"/>
  <c r="D18" i="30" s="1"/>
  <c r="F37" i="24"/>
  <c r="G12" i="30" s="1"/>
  <c r="C46" i="26"/>
  <c r="B21" i="30" s="1"/>
  <c r="D21" i="30" s="1"/>
  <c r="C47" i="26"/>
  <c r="C49" i="26" s="1"/>
  <c r="N37" i="24"/>
  <c r="O12" i="30" s="1"/>
  <c r="C55" i="26"/>
  <c r="G61" i="26" s="1"/>
  <c r="C69" i="26" s="1"/>
  <c r="B23" i="30" s="1"/>
  <c r="B14" i="28"/>
  <c r="G29" i="30"/>
  <c r="C71" i="26"/>
  <c r="C73" i="26" s="1"/>
  <c r="C48" i="26"/>
  <c r="F17" i="24"/>
  <c r="B52" i="24"/>
  <c r="B53" i="24" s="1"/>
  <c r="B55" i="24"/>
  <c r="C29" i="30"/>
  <c r="B33" i="24"/>
  <c r="B34" i="24" s="1"/>
  <c r="B36" i="24"/>
  <c r="G13" i="26"/>
  <c r="B10" i="29"/>
  <c r="C28" i="30" s="1"/>
  <c r="G28" i="30"/>
  <c r="B33" i="25" l="1"/>
  <c r="N5" i="30"/>
  <c r="P5" i="30" s="1"/>
  <c r="B15" i="30"/>
  <c r="D15" i="30" s="1"/>
  <c r="B12" i="30"/>
  <c r="D12" i="30" s="1"/>
  <c r="B13" i="30"/>
  <c r="D13" i="30" s="1"/>
  <c r="J14" i="30"/>
  <c r="L14" i="30" s="1"/>
  <c r="J15" i="30"/>
  <c r="L15" i="30" s="1"/>
  <c r="N14" i="30"/>
  <c r="P14" i="30" s="1"/>
  <c r="N15" i="30"/>
  <c r="P15" i="30" s="1"/>
  <c r="F14" i="30"/>
  <c r="H14" i="30" s="1"/>
  <c r="F15" i="30"/>
  <c r="H15" i="30" s="1"/>
  <c r="J12" i="30"/>
  <c r="L12" i="30" s="1"/>
  <c r="J13" i="30"/>
  <c r="L13" i="30" s="1"/>
  <c r="N12" i="30"/>
  <c r="P12" i="30" s="1"/>
  <c r="N13" i="30"/>
  <c r="P13" i="30" s="1"/>
  <c r="F12" i="30"/>
  <c r="H12" i="30" s="1"/>
  <c r="F13" i="30"/>
  <c r="H13" i="30" s="1"/>
  <c r="F15" i="24"/>
  <c r="F8" i="30" s="1"/>
  <c r="H8" i="30" s="1"/>
  <c r="F10" i="30"/>
  <c r="H10" i="30" s="1"/>
  <c r="F11" i="30"/>
  <c r="H11" i="30" s="1"/>
  <c r="J10" i="30"/>
  <c r="L10" i="30" s="1"/>
  <c r="J11" i="30"/>
  <c r="L11" i="30" s="1"/>
  <c r="B10" i="30"/>
  <c r="D10" i="30" s="1"/>
  <c r="B11" i="30"/>
  <c r="D11" i="30" s="1"/>
  <c r="N10" i="30"/>
  <c r="P10" i="30" s="1"/>
  <c r="N11" i="30"/>
  <c r="P11" i="30" s="1"/>
  <c r="B8" i="30"/>
  <c r="D8" i="30" s="1"/>
  <c r="J5" i="30"/>
  <c r="L5" i="30" s="1"/>
  <c r="F5" i="30"/>
  <c r="H5" i="30" s="1"/>
  <c r="N15" i="24"/>
  <c r="N8" i="30" s="1"/>
  <c r="P8" i="30" s="1"/>
  <c r="L29" i="30"/>
  <c r="P29" i="30"/>
  <c r="B35" i="24"/>
  <c r="B16" i="24"/>
  <c r="B54" i="24"/>
  <c r="B25" i="30"/>
  <c r="D25" i="30" s="1"/>
  <c r="B19" i="30"/>
  <c r="D19" i="30" s="1"/>
  <c r="P28" i="30"/>
  <c r="J15" i="24"/>
  <c r="J8" i="30" s="1"/>
  <c r="L8" i="30" s="1"/>
  <c r="B16" i="25"/>
  <c r="H28" i="30"/>
  <c r="H29" i="30"/>
  <c r="N6" i="30"/>
  <c r="P6" i="30" s="1"/>
  <c r="J6" i="30"/>
  <c r="L6" i="30" s="1"/>
  <c r="F6" i="30"/>
  <c r="H6" i="30" s="1"/>
  <c r="D23" i="30"/>
  <c r="J23" i="30"/>
  <c r="L23" i="30" s="1"/>
  <c r="N23" i="30"/>
  <c r="P23" i="30" s="1"/>
  <c r="F23" i="30"/>
  <c r="H23" i="30" s="1"/>
  <c r="D20" i="30"/>
  <c r="F20" i="30"/>
  <c r="H20" i="30" s="1"/>
  <c r="J20" i="30"/>
  <c r="L20" i="30" s="1"/>
  <c r="N20" i="30"/>
  <c r="P20" i="30" s="1"/>
  <c r="B16" i="30"/>
  <c r="D16" i="30" s="1"/>
  <c r="C21" i="26"/>
  <c r="B5" i="30" s="1"/>
  <c r="D5" i="30" s="1"/>
  <c r="B6" i="30"/>
  <c r="D6" i="30" s="1"/>
  <c r="B14" i="30"/>
  <c r="D14" i="30" s="1"/>
  <c r="B22" i="30"/>
  <c r="D22" i="30" s="1"/>
  <c r="D29" i="30"/>
  <c r="D28" i="30"/>
  <c r="N3" i="30" l="1"/>
  <c r="P3" i="30" s="1"/>
  <c r="B9" i="30"/>
  <c r="D9" i="30" s="1"/>
  <c r="B3" i="30" s="1"/>
  <c r="B4" i="30"/>
  <c r="D4" i="30" s="1"/>
  <c r="F3" i="30"/>
  <c r="H3" i="30" s="1"/>
  <c r="J3" i="30"/>
  <c r="L3" i="30" s="1"/>
  <c r="B17" i="30"/>
  <c r="D3" i="30" l="1"/>
  <c r="F17" i="30"/>
  <c r="H17" i="30" s="1"/>
  <c r="J17" i="30"/>
  <c r="L17" i="30" s="1"/>
  <c r="N17" i="30"/>
  <c r="P17" i="30" s="1"/>
  <c r="D17" i="30"/>
  <c r="D33" i="30" l="1"/>
  <c r="C51" i="5" s="1"/>
  <c r="P33" i="30"/>
  <c r="O51" i="5" s="1"/>
  <c r="L33" i="30"/>
  <c r="K51" i="5" s="1"/>
  <c r="H33" i="30"/>
  <c r="G51" i="5" s="1"/>
</calcChain>
</file>

<file path=xl/comments1.xml><?xml version="1.0" encoding="utf-8"?>
<comments xmlns="http://schemas.openxmlformats.org/spreadsheetml/2006/main">
  <authors>
    <author>Ivan Wang(王仁毅)</author>
  </authors>
  <commentList>
    <comment ref="C6" authorId="0" shapeId="0">
      <text>
        <r>
          <rPr>
            <b/>
            <sz val="9"/>
            <color indexed="81"/>
            <rFont val="Tahoma"/>
            <family val="2"/>
          </rPr>
          <t>1.5: YUV420
2: YUV422</t>
        </r>
      </text>
    </comment>
    <comment ref="C7" authorId="0" shapeId="0">
      <text>
        <r>
          <rPr>
            <b/>
            <sz val="9"/>
            <color indexed="81"/>
            <rFont val="Tahoma"/>
            <family val="2"/>
          </rPr>
          <t>0:no VIN support
1:liveview (enable VIN)
2:liveview shared decode pool</t>
        </r>
      </text>
    </comment>
    <comment ref="C21" authorId="0" shapeId="0">
      <text>
        <r>
          <rPr>
            <b/>
            <sz val="9"/>
            <color indexed="81"/>
            <rFont val="Tahoma"/>
            <family val="2"/>
          </rPr>
          <t>basic = 1
flow +1
ltr +1
svc4x +1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basic = 1
flow +1
ltr +1
svc4x +1</t>
        </r>
      </text>
    </comment>
    <comment ref="C29" authorId="0" shapeId="0">
      <text>
        <r>
          <rPr>
            <b/>
            <sz val="9"/>
            <color indexed="81"/>
            <rFont val="Tahoma"/>
            <family val="2"/>
          </rPr>
          <t>non-realtime: 1.5~2.5
realtime: 3~4.5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non-realtime: 1.5~2.5
realtime: 3~4.5</t>
        </r>
      </text>
    </comment>
    <comment ref="C37" authorId="0" shapeId="0">
      <text>
        <r>
          <rPr>
            <b/>
            <sz val="9"/>
            <color indexed="81"/>
            <rFont val="Tahoma"/>
            <family val="2"/>
          </rPr>
          <t>non-realtime: 1.5~2.5
realtime: 3~4.5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>YUV scaling buffer</t>
        </r>
      </text>
    </comment>
  </commentList>
</comments>
</file>

<file path=xl/comments2.xml><?xml version="1.0" encoding="utf-8"?>
<comments xmlns="http://schemas.openxmlformats.org/spreadsheetml/2006/main">
  <authors>
    <author>Ivan Wang(王仁毅)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(enc_cap_out+enc_out+dec_out)* 10%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</rPr>
          <t>H265 internal usage = max bs size x 2</t>
        </r>
      </text>
    </comment>
    <comment ref="A14" authorId="0" shapeId="0">
      <text>
        <r>
          <rPr>
            <b/>
            <sz val="9"/>
            <color indexed="81"/>
            <rFont val="Tahoma"/>
            <family val="2"/>
          </rPr>
          <t>substream &amp; dispEnc shared memory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>substream &amp; dispEnc shared memory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It can shared to use DEC_OUT_POOL</t>
        </r>
      </text>
    </comment>
    <comment ref="B29" authorId="0" shapeId="0">
      <text>
        <r>
          <rPr>
            <b/>
            <sz val="9"/>
            <color indexed="81"/>
            <rFont val="Tahoma"/>
            <family val="2"/>
          </rPr>
          <t>Fixed value 70K x 2</t>
        </r>
      </text>
    </comment>
    <comment ref="B30" authorId="0" shapeId="0">
      <text>
        <r>
          <rPr>
            <b/>
            <sz val="9"/>
            <color indexed="81"/>
            <rFont val="Tahoma"/>
            <family val="2"/>
          </rPr>
          <t>Memory used for hwCNN engine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>User definied size for OSG memory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2" authorId="0" shapeId="0">
      <text>
        <r>
          <rPr>
            <b/>
            <sz val="9"/>
            <color indexed="81"/>
            <rFont val="Tahoma"/>
            <family val="2"/>
          </rPr>
          <t>User definied memory for AP usage</t>
        </r>
      </text>
    </comment>
    <comment ref="D32" authorId="0" shapeId="0">
      <text>
        <r>
          <rPr>
            <b/>
            <sz val="9"/>
            <color indexed="81"/>
            <rFont val="Tahoma"/>
            <family val="2"/>
          </rPr>
          <t>User memory, not included in total size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Ivan Wang(王仁毅)</author>
  </authors>
  <commentList>
    <comment ref="D5" authorId="0" shapeId="0">
      <text>
        <r>
          <rPr>
            <b/>
            <sz val="9"/>
            <color indexed="81"/>
            <rFont val="Tahoma"/>
            <family val="2"/>
          </rPr>
          <t>NVR may not support</t>
        </r>
      </text>
    </comment>
    <comment ref="H9" authorId="0" shapeId="0">
      <text>
        <r>
          <rPr>
            <b/>
            <sz val="9"/>
            <color indexed="81"/>
            <rFont val="Tahoma"/>
            <family val="2"/>
          </rPr>
          <t>YUV420:1.5 YUV422:2</t>
        </r>
      </text>
    </comment>
    <comment ref="H11" authorId="0" shapeId="0">
      <text>
        <r>
          <rPr>
            <b/>
            <sz val="9"/>
            <color indexed="81"/>
            <rFont val="Tahoma"/>
            <family val="2"/>
          </rPr>
          <t>YUV420:1.5 YUV422:2</t>
        </r>
      </text>
    </comment>
    <comment ref="D29" authorId="0" shapeId="0">
      <text>
        <r>
          <rPr>
            <b/>
            <sz val="9"/>
            <color indexed="81"/>
            <rFont val="Tahoma"/>
            <family val="2"/>
          </rPr>
          <t>NVR may not support</t>
        </r>
      </text>
    </comment>
    <comment ref="H33" authorId="0" shapeId="0">
      <text>
        <r>
          <rPr>
            <b/>
            <sz val="9"/>
            <color indexed="81"/>
            <rFont val="Tahoma"/>
            <family val="2"/>
          </rPr>
          <t>YUV420:1.5 YUV422:2</t>
        </r>
      </text>
    </comment>
    <comment ref="H35" authorId="0" shapeId="0">
      <text>
        <r>
          <rPr>
            <b/>
            <sz val="9"/>
            <color indexed="81"/>
            <rFont val="Tahoma"/>
            <family val="2"/>
          </rPr>
          <t>YUV420:1.5 YUV422:2</t>
        </r>
      </text>
    </comment>
    <comment ref="D53" authorId="0" shapeId="0">
      <text>
        <r>
          <rPr>
            <b/>
            <sz val="9"/>
            <color indexed="81"/>
            <rFont val="Tahoma"/>
            <family val="2"/>
          </rPr>
          <t>NVR may not support</t>
        </r>
      </text>
    </comment>
    <comment ref="H57" authorId="0" shapeId="0">
      <text>
        <r>
          <rPr>
            <b/>
            <sz val="9"/>
            <color indexed="81"/>
            <rFont val="Tahoma"/>
            <family val="2"/>
          </rPr>
          <t>YUV420:1.5 YUV422:2</t>
        </r>
      </text>
    </comment>
    <comment ref="H59" authorId="0" shapeId="0">
      <text>
        <r>
          <rPr>
            <b/>
            <sz val="9"/>
            <color indexed="81"/>
            <rFont val="Tahoma"/>
            <family val="2"/>
          </rPr>
          <t>YUV420:1.5 YUV422:2</t>
        </r>
      </text>
    </comment>
  </commentList>
</comments>
</file>

<file path=xl/comments4.xml><?xml version="1.0" encoding="utf-8"?>
<comments xmlns="http://schemas.openxmlformats.org/spreadsheetml/2006/main">
  <authors>
    <author>Ivan Wang(王仁毅)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YUV420:1.5 YUV422:2</t>
        </r>
      </text>
    </comment>
    <comment ref="B13" authorId="0" shapeId="0">
      <text>
        <r>
          <rPr>
            <b/>
            <sz val="9"/>
            <color indexed="81"/>
            <rFont val="Tahoma"/>
            <family val="2"/>
          </rPr>
          <t xml:space="preserve">basic = 1
ltr +1
svc4x +1
</t>
        </r>
      </text>
    </comment>
    <comment ref="A19" authorId="0" shapeId="0">
      <text>
        <r>
          <rPr>
            <b/>
            <sz val="9"/>
            <color indexed="81"/>
            <rFont val="Tahoma"/>
            <family val="2"/>
          </rPr>
          <t>313: Reference buffer
321: Reference buffer x 0.75</t>
        </r>
      </text>
    </comment>
    <comment ref="B28" authorId="0" shapeId="0">
      <text>
        <r>
          <rPr>
            <b/>
            <sz val="9"/>
            <color indexed="81"/>
            <rFont val="Tahoma"/>
            <family val="2"/>
          </rPr>
          <t>YUV420:1.5 YUV422:2</t>
        </r>
      </text>
    </comment>
    <comment ref="B32" authorId="0" shapeId="0">
      <text>
        <r>
          <rPr>
            <b/>
            <sz val="9"/>
            <color indexed="81"/>
            <rFont val="Tahoma"/>
            <family val="2"/>
          </rPr>
          <t xml:space="preserve">basic = 1
ltr +1
svc4x +1
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>YUV420:1.5 YUV422:2</t>
        </r>
      </text>
    </comment>
    <comment ref="B51" authorId="0" shapeId="0">
      <text>
        <r>
          <rPr>
            <b/>
            <sz val="9"/>
            <color indexed="81"/>
            <rFont val="Tahoma"/>
            <family val="2"/>
          </rPr>
          <t xml:space="preserve">basic = 1
ltr +1
svc4x +1
</t>
        </r>
      </text>
    </comment>
    <comment ref="B75" authorId="0" shapeId="0">
      <text>
        <r>
          <rPr>
            <b/>
            <sz val="9"/>
            <color indexed="81"/>
            <rFont val="Tahoma"/>
            <family val="2"/>
          </rPr>
          <t>YUV420:1.5 YUV422:2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>YUV420:1.5 YUV422:2</t>
        </r>
      </text>
    </comment>
  </commentList>
</comments>
</file>

<file path=xl/comments5.xml><?xml version="1.0" encoding="utf-8"?>
<comments xmlns="http://schemas.openxmlformats.org/spreadsheetml/2006/main">
  <authors>
    <author>Ivan Wang(王仁毅)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 xml:space="preserve">31x YUV422:2
321 YUV420:1.5 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Higher resolution may use lower value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321 needn't BS info</t>
        </r>
      </text>
    </comment>
    <comment ref="C13" authorId="0" shapeId="0">
      <text>
        <r>
          <rPr>
            <sz val="9"/>
            <color indexed="81"/>
            <rFont val="Tahoma"/>
            <family val="2"/>
          </rPr>
          <t xml:space="preserve">Max MB size
265 :  ALIGN(w , 64) * ALIGN(h , 64)/16  for 31x, 321
264 :  Not Needed
</t>
        </r>
      </text>
    </comment>
    <comment ref="C16" authorId="0" shapeId="0">
      <text>
        <r>
          <rPr>
            <b/>
            <sz val="9"/>
            <color indexed="81"/>
            <rFont val="Tahoma"/>
            <family val="2"/>
          </rPr>
          <t>decode bitstream buffer = MAX * 2 + MIN * count</t>
        </r>
      </text>
    </comment>
    <comment ref="A17" authorId="0" shapeId="0">
      <text>
        <r>
          <rPr>
            <b/>
            <sz val="9"/>
            <color indexed="81"/>
            <rFont val="Tahoma"/>
            <family val="2"/>
          </rPr>
          <t>Dec buf+MB info+BS info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</rPr>
          <t xml:space="preserve">31x YUV422:2
321 YUV420:1.5 </t>
        </r>
      </text>
    </comment>
    <comment ref="A34" authorId="0" shapeId="0">
      <text>
        <r>
          <rPr>
            <b/>
            <sz val="9"/>
            <color indexed="81"/>
            <rFont val="Tahoma"/>
            <family val="2"/>
          </rPr>
          <t>Dec buf+MB info+BS info</t>
        </r>
      </text>
    </comment>
  </commentList>
</comments>
</file>

<file path=xl/comments6.xml><?xml version="1.0" encoding="utf-8"?>
<comments xmlns="http://schemas.openxmlformats.org/spreadsheetml/2006/main">
  <authors>
    <author>Ivan Wang(王仁毅)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1:mono
2:stereo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Sample count per frame</t>
        </r>
      </text>
    </comment>
    <comment ref="B16" authorId="0" shapeId="0">
      <text>
        <r>
          <rPr>
            <b/>
            <sz val="9"/>
            <color indexed="81"/>
            <rFont val="Tahoma"/>
            <family val="2"/>
          </rPr>
          <t>HDMI: 48KHz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1:mono
2:stereo</t>
        </r>
      </text>
    </comment>
  </commentList>
</comments>
</file>

<file path=xl/comments7.xml><?xml version="1.0" encoding="utf-8"?>
<comments xmlns="http://schemas.openxmlformats.org/spreadsheetml/2006/main">
  <authors>
    <author>Ivan Wang(王仁毅)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w&lt;=1088: 16
w&gt;1088: 32</t>
        </r>
      </text>
    </comment>
    <comment ref="B10" authorId="0" shapeId="0">
      <text>
        <r>
          <rPr>
            <b/>
            <sz val="9"/>
            <color indexed="81"/>
            <rFont val="Tahoma"/>
            <family val="2"/>
          </rPr>
          <t>total channel number (include CHIP1-CHIP3)</t>
        </r>
      </text>
    </comment>
  </commentList>
</comments>
</file>

<file path=xl/sharedStrings.xml><?xml version="1.0" encoding="utf-8"?>
<sst xmlns="http://schemas.openxmlformats.org/spreadsheetml/2006/main" count="978" uniqueCount="234">
  <si>
    <t>Src Compress ratio</t>
    <phoneticPr fontId="2" type="noConversion"/>
  </si>
  <si>
    <t>Value</t>
    <phoneticPr fontId="2" type="noConversion"/>
  </si>
  <si>
    <t>Min Codec Compress ratio</t>
    <phoneticPr fontId="2" type="noConversion"/>
  </si>
  <si>
    <t>Pool Name</t>
    <phoneticPr fontId="2" type="noConversion"/>
  </si>
  <si>
    <t>YUV buffer count</t>
    <phoneticPr fontId="2" type="noConversion"/>
  </si>
  <si>
    <t>decode ratio frame</t>
    <phoneticPr fontId="2" type="noConversion"/>
  </si>
  <si>
    <t>Channels</t>
    <phoneticPr fontId="2" type="noConversion"/>
  </si>
  <si>
    <t>Reference number</t>
    <phoneticPr fontId="2" type="noConversion"/>
  </si>
  <si>
    <t>4bit mode</t>
    <phoneticPr fontId="2" type="noConversion"/>
  </si>
  <si>
    <t>HD_COMMON_MEM_DISP0_IN_POOL</t>
    <phoneticPr fontId="2" type="noConversion"/>
  </si>
  <si>
    <t>HD_COMMON_MEM_DISP1_IN_POOL</t>
    <phoneticPr fontId="2" type="noConversion"/>
  </si>
  <si>
    <t>HD_COMMON_MEM_DISP2_IN_POOL</t>
    <phoneticPr fontId="2" type="noConversion"/>
  </si>
  <si>
    <t>HD_COMMON_MEM_DISP0_CAP_OUT_POOL</t>
    <phoneticPr fontId="2" type="noConversion"/>
  </si>
  <si>
    <t>HD_COMMON_MEM_DISP1_CAP_OUT_POOL</t>
  </si>
  <si>
    <t>HD_COMMON_MEM_DISP2_CAP_OUT_POOL</t>
  </si>
  <si>
    <t>HD_COMMON_MEM_ENC_CAP_OUT_POOL</t>
  </si>
  <si>
    <t>HD_COMMON_MEM_ENC_OUT_POOL</t>
  </si>
  <si>
    <t>HD_COMMON_MEM_DISP_DEC_IN_POOL</t>
  </si>
  <si>
    <t>HD_COMMON_MEM_DISP_DEC_OUT_POOL</t>
  </si>
  <si>
    <t>HD_COMMON_MEM_DISP_DEC_OUT_RATIO_POOL</t>
    <phoneticPr fontId="2" type="noConversion"/>
  </si>
  <si>
    <t>HD_COMMON_MEM_AU_ENC_AU_GRAB_OUT_POOL</t>
  </si>
  <si>
    <t>HD_COMMON_MEM_AU_DEC_AU_RENDER_IN_POOL</t>
  </si>
  <si>
    <t>HD_COMMON_MEM_OSG_POOL</t>
  </si>
  <si>
    <t>HD_COMMON_MEM_COMMON_POOL</t>
    <phoneticPr fontId="2" type="noConversion"/>
  </si>
  <si>
    <t>HD_COMMON_MEM_CNN_POOL</t>
    <phoneticPr fontId="2" type="noConversion"/>
  </si>
  <si>
    <t>HD_COMMON_MEM_ENC_SCL_OUT_POOL</t>
    <phoneticPr fontId="2" type="noConversion"/>
  </si>
  <si>
    <t>HD_COMMON_MEM_TMNR_MOTION_POOL</t>
    <phoneticPr fontId="2" type="noConversion"/>
  </si>
  <si>
    <t>Bitstream buffre count</t>
    <phoneticPr fontId="2" type="noConversion"/>
  </si>
  <si>
    <t>Max bitrate</t>
    <phoneticPr fontId="2" type="noConversion"/>
  </si>
  <si>
    <t>HD_COMMON_MEM_DEC_TILE_POOL</t>
    <phoneticPr fontId="2" type="noConversion"/>
  </si>
  <si>
    <t>HD_COMMON_MEM_GLOBAL_MD_POOL</t>
    <phoneticPr fontId="2" type="noConversion"/>
  </si>
  <si>
    <t xml:space="preserve">/*
* for DVR_4MP_4CH:  4CH 1920x1080 HDMI(1080p)+CVBS
* MB_X_NUM_MAX = 256;
* MB_Y_NUM_MAX = 256
* MB_GAU_LEN = 256;
* EVT_LEN = 8; 
* LV_LEN = 8;
* mb_size = 16;
* mb_x_num_max = max_width/mb_size = 2560/32 = 80;
* mb_y_num_max = max_height/mb_size = 1440/32 = 45;
* sta buf size = mb_x_num_max*mb_y_num_max*MB_GAU_LEN (bits)
*              = 80*45*256/8 (bytes)
* event buf size = MB_X_NUM_MAX*mb_y_num_max*EVT_LEN (bits)
*                               = 256*45*8/8 (bytes)
* level buf size = MB_X_NUM_MAX*mb_y_num_max*LV_LEN (bits)
*                               = 256*45*8/8 (bytes)
* */
</t>
    <phoneticPr fontId="2" type="noConversion"/>
  </si>
  <si>
    <t>mb_size</t>
    <phoneticPr fontId="2" type="noConversion"/>
  </si>
  <si>
    <t>sta buffer (KB)</t>
    <phoneticPr fontId="2" type="noConversion"/>
  </si>
  <si>
    <t>evt buf + level buf</t>
    <phoneticPr fontId="2" type="noConversion"/>
  </si>
  <si>
    <t>Video width</t>
    <phoneticPr fontId="2" type="noConversion"/>
  </si>
  <si>
    <t>Video height</t>
    <phoneticPr fontId="2" type="noConversion"/>
  </si>
  <si>
    <t>Video width</t>
    <phoneticPr fontId="2" type="noConversion"/>
  </si>
  <si>
    <t>Decode 2</t>
    <phoneticPr fontId="2" type="noConversion"/>
  </si>
  <si>
    <t>Sub Encode</t>
    <phoneticPr fontId="2" type="noConversion"/>
  </si>
  <si>
    <t>Display Encode</t>
    <phoneticPr fontId="2" type="noConversion"/>
  </si>
  <si>
    <t>Decode 1</t>
    <phoneticPr fontId="2" type="noConversion"/>
  </si>
  <si>
    <t>IC Type</t>
    <phoneticPr fontId="2" type="noConversion"/>
  </si>
  <si>
    <t>Main Encode 2</t>
    <phoneticPr fontId="2" type="noConversion"/>
  </si>
  <si>
    <t>Main Encode 1</t>
    <phoneticPr fontId="2" type="noConversion"/>
  </si>
  <si>
    <t>CHIP3</t>
    <phoneticPr fontId="2" type="noConversion"/>
  </si>
  <si>
    <t>CHIP0</t>
    <phoneticPr fontId="2" type="noConversion"/>
  </si>
  <si>
    <t>CHIP1</t>
    <phoneticPr fontId="2" type="noConversion"/>
  </si>
  <si>
    <t>CHIP2</t>
    <phoneticPr fontId="2" type="noConversion"/>
  </si>
  <si>
    <t>DDR0 Usage</t>
    <phoneticPr fontId="2" type="noConversion"/>
  </si>
  <si>
    <t>DDR2 Usage</t>
    <phoneticPr fontId="2" type="noConversion"/>
  </si>
  <si>
    <t>DDR3 Usage</t>
    <phoneticPr fontId="2" type="noConversion"/>
  </si>
  <si>
    <t>DDR4 Usage</t>
    <phoneticPr fontId="2" type="noConversion"/>
  </si>
  <si>
    <t>Liveview</t>
    <phoneticPr fontId="2" type="noConversion"/>
  </si>
  <si>
    <t>videocapture</t>
    <phoneticPr fontId="2" type="noConversion"/>
  </si>
  <si>
    <t>DISPx_CAP_OUT</t>
    <phoneticPr fontId="2" type="noConversion"/>
  </si>
  <si>
    <t>videoprocess</t>
    <phoneticPr fontId="2" type="noConversion"/>
  </si>
  <si>
    <t>DISPx_IN</t>
    <phoneticPr fontId="2" type="noConversion"/>
  </si>
  <si>
    <t>videoout</t>
    <phoneticPr fontId="2" type="noConversion"/>
  </si>
  <si>
    <t>Playback</t>
    <phoneticPr fontId="2" type="noConversion"/>
  </si>
  <si>
    <t>Encode</t>
    <phoneticPr fontId="2" type="noConversion"/>
  </si>
  <si>
    <t>Display Encode</t>
    <phoneticPr fontId="2" type="noConversion"/>
  </si>
  <si>
    <t>DISPx_DEC_IN</t>
    <phoneticPr fontId="2" type="noConversion"/>
  </si>
  <si>
    <t>videodec</t>
    <phoneticPr fontId="2" type="noConversion"/>
  </si>
  <si>
    <t>DISPx_DEC_OUT</t>
    <phoneticPr fontId="2" type="noConversion"/>
  </si>
  <si>
    <t>ENC_CAP_OUT</t>
    <phoneticPr fontId="2" type="noConversion"/>
  </si>
  <si>
    <t>videoenc</t>
    <phoneticPr fontId="2" type="noConversion"/>
  </si>
  <si>
    <t>ENC_OUT</t>
    <phoneticPr fontId="2" type="noConversion"/>
  </si>
  <si>
    <t>ENC_SCL_OUT</t>
    <phoneticPr fontId="2" type="noConversion"/>
  </si>
  <si>
    <t>↓</t>
    <phoneticPr fontId="2" type="noConversion"/>
  </si>
  <si>
    <t>Value</t>
    <phoneticPr fontId="2" type="noConversion"/>
  </si>
  <si>
    <t>ENC_CAP_OUT_POOL (KB)</t>
    <phoneticPr fontId="2" type="noConversion"/>
  </si>
  <si>
    <t>ENC_OUT_POOL (KB)</t>
    <phoneticPr fontId="2" type="noConversion"/>
  </si>
  <si>
    <t>Resolution width</t>
    <phoneticPr fontId="2" type="noConversion"/>
  </si>
  <si>
    <t>Resolution height</t>
    <phoneticPr fontId="2" type="noConversion"/>
  </si>
  <si>
    <t>Max bitrate Kbytes (25fps)</t>
    <phoneticPr fontId="2" type="noConversion"/>
  </si>
  <si>
    <t>Main Encode 1</t>
    <phoneticPr fontId="2" type="noConversion"/>
  </si>
  <si>
    <t>CHIP0</t>
    <phoneticPr fontId="2" type="noConversion"/>
  </si>
  <si>
    <t>Note</t>
    <phoneticPr fontId="2" type="noConversion"/>
  </si>
  <si>
    <t>Audio
Record</t>
    <phoneticPr fontId="2" type="noConversion"/>
  </si>
  <si>
    <t>Channels</t>
    <phoneticPr fontId="2" type="noConversion"/>
  </si>
  <si>
    <t>Sample Rate (K)</t>
    <phoneticPr fontId="2" type="noConversion"/>
  </si>
  <si>
    <t>Tracks</t>
    <phoneticPr fontId="2" type="noConversion"/>
  </si>
  <si>
    <t>Mono</t>
  </si>
  <si>
    <t>Sub Encode</t>
    <phoneticPr fontId="2" type="noConversion"/>
  </si>
  <si>
    <t>Video height</t>
    <phoneticPr fontId="2" type="noConversion"/>
  </si>
  <si>
    <t>YUV Buf count</t>
    <phoneticPr fontId="2" type="noConversion"/>
  </si>
  <si>
    <t>YUV Buf Count</t>
    <phoneticPr fontId="2" type="noConversion"/>
  </si>
  <si>
    <t>YUV Buf count</t>
    <phoneticPr fontId="2" type="noConversion"/>
  </si>
  <si>
    <t>960H Support</t>
    <phoneticPr fontId="2" type="noConversion"/>
  </si>
  <si>
    <t>Input YUV count</t>
    <phoneticPr fontId="2" type="noConversion"/>
  </si>
  <si>
    <t>Input YUV pixel size</t>
    <phoneticPr fontId="2" type="noConversion"/>
  </si>
  <si>
    <t>YUV Pixel size (bytes)</t>
    <phoneticPr fontId="2" type="noConversion"/>
  </si>
  <si>
    <t>Output YUV count</t>
    <phoneticPr fontId="2" type="noConversion"/>
  </si>
  <si>
    <t>Output YUV pixel size</t>
    <phoneticPr fontId="2" type="noConversion"/>
  </si>
  <si>
    <t>Output YUV Compress ratio</t>
    <phoneticPr fontId="2" type="noConversion"/>
  </si>
  <si>
    <t>CHIP2</t>
    <phoneticPr fontId="2" type="noConversion"/>
  </si>
  <si>
    <t>Decode 1</t>
    <phoneticPr fontId="2" type="noConversion"/>
  </si>
  <si>
    <t>DEC_OUT_POOL (KB)</t>
    <phoneticPr fontId="2" type="noConversion"/>
  </si>
  <si>
    <t>DEC_IN_POOL (KB)</t>
    <phoneticPr fontId="2" type="noConversion"/>
  </si>
  <si>
    <t>DEC_OUT_RATIO_POOL (KB)</t>
    <phoneticPr fontId="2" type="noConversion"/>
  </si>
  <si>
    <t>Min codec compress Ratio</t>
    <phoneticPr fontId="2" type="noConversion"/>
  </si>
  <si>
    <t>YUV buffer count</t>
    <phoneticPr fontId="2" type="noConversion"/>
  </si>
  <si>
    <t>Bitstream buffer count</t>
    <phoneticPr fontId="2" type="noConversion"/>
  </si>
  <si>
    <t>1/4 yuv</t>
    <phoneticPr fontId="2" type="noConversion"/>
  </si>
  <si>
    <t>Max bitstream size</t>
    <phoneticPr fontId="2" type="noConversion"/>
  </si>
  <si>
    <t>Decode MB info + BS info</t>
    <phoneticPr fontId="2" type="noConversion"/>
  </si>
  <si>
    <t>De-interlace Support</t>
    <phoneticPr fontId="2" type="noConversion"/>
  </si>
  <si>
    <t>Per CH</t>
    <phoneticPr fontId="2" type="noConversion"/>
  </si>
  <si>
    <t>Decode 2</t>
    <phoneticPr fontId="2" type="noConversion"/>
  </si>
  <si>
    <t>Decode 1</t>
    <phoneticPr fontId="2" type="noConversion"/>
  </si>
  <si>
    <t>Display 0
(fb0~fb2)</t>
    <phoneticPr fontId="2" type="noConversion"/>
  </si>
  <si>
    <t>Display 1
(fb3~fb5)</t>
    <phoneticPr fontId="2" type="noConversion"/>
  </si>
  <si>
    <t>Display 2
(fb6~fb8)</t>
    <phoneticPr fontId="2" type="noConversion"/>
  </si>
  <si>
    <t>GUI width (fb1)</t>
    <phoneticPr fontId="2" type="noConversion"/>
  </si>
  <si>
    <t>GUI height(fb1)</t>
    <phoneticPr fontId="2" type="noConversion"/>
  </si>
  <si>
    <t>Video width</t>
    <phoneticPr fontId="2" type="noConversion"/>
  </si>
  <si>
    <t>Resolution width</t>
    <phoneticPr fontId="2" type="noConversion"/>
  </si>
  <si>
    <t>Resolution height</t>
    <phoneticPr fontId="2" type="noConversion"/>
  </si>
  <si>
    <t>YUV Pixel size (bytes)</t>
    <phoneticPr fontId="2" type="noConversion"/>
  </si>
  <si>
    <t>Support</t>
    <phoneticPr fontId="2" type="noConversion"/>
  </si>
  <si>
    <t>YUV buffer count</t>
    <phoneticPr fontId="2" type="noConversion"/>
  </si>
  <si>
    <t>RLE compress ratio</t>
    <phoneticPr fontId="2" type="noConversion"/>
  </si>
  <si>
    <t>Cursor frame buffer (/dev/fb2)</t>
    <phoneticPr fontId="2" type="noConversion"/>
  </si>
  <si>
    <t>Support</t>
    <phoneticPr fontId="2" type="noConversion"/>
  </si>
  <si>
    <t>YUV Pixel size (bytes)</t>
    <phoneticPr fontId="2" type="noConversion"/>
  </si>
  <si>
    <t>Display 0</t>
    <phoneticPr fontId="2" type="noConversion"/>
  </si>
  <si>
    <t>Total width</t>
    <phoneticPr fontId="2" type="noConversion"/>
  </si>
  <si>
    <t>Height height</t>
    <phoneticPr fontId="2" type="noConversion"/>
  </si>
  <si>
    <t>Note</t>
    <phoneticPr fontId="2" type="noConversion"/>
  </si>
  <si>
    <t>4bit mode</t>
    <phoneticPr fontId="2" type="noConversion"/>
  </si>
  <si>
    <t>DISP0_CAP_OUT_POOL(KB)</t>
    <phoneticPr fontId="2" type="noConversion"/>
  </si>
  <si>
    <t>DISP0_IN_POOL/FB0 (KB)</t>
    <phoneticPr fontId="2" type="noConversion"/>
  </si>
  <si>
    <t>YUV Pixel size (bytes)</t>
    <phoneticPr fontId="2" type="noConversion"/>
  </si>
  <si>
    <t>YUV buffer count</t>
    <phoneticPr fontId="2" type="noConversion"/>
  </si>
  <si>
    <t>2 buffers</t>
    <phoneticPr fontId="2" type="noConversion"/>
  </si>
  <si>
    <t>DISP0_CAP_OUT_POOL</t>
    <phoneticPr fontId="2" type="noConversion"/>
  </si>
  <si>
    <t>Video capture input
(liveview)</t>
    <phoneticPr fontId="2" type="noConversion"/>
  </si>
  <si>
    <t>Video frame buffer
(/dev/fb0)</t>
    <phoneticPr fontId="2" type="noConversion"/>
  </si>
  <si>
    <t>GUI frame buffer
(/dev/fb1)</t>
    <phoneticPr fontId="2" type="noConversion"/>
  </si>
  <si>
    <t>Display 1</t>
    <phoneticPr fontId="2" type="noConversion"/>
  </si>
  <si>
    <t>Display1 (960H)</t>
    <phoneticPr fontId="2" type="noConversion"/>
  </si>
  <si>
    <t>Display0(960H)</t>
    <phoneticPr fontId="2" type="noConversion"/>
  </si>
  <si>
    <t>DISP1_CAP_OUT_POOL</t>
    <phoneticPr fontId="2" type="noConversion"/>
  </si>
  <si>
    <t>DISP1_CAP_OUT_POOL(KB)</t>
    <phoneticPr fontId="2" type="noConversion"/>
  </si>
  <si>
    <t>DISP1_IN_POOL/FB0 (KB)</t>
    <phoneticPr fontId="2" type="noConversion"/>
  </si>
  <si>
    <t>Display 2</t>
    <phoneticPr fontId="2" type="noConversion"/>
  </si>
  <si>
    <t>DISP1_FB1 (KB)</t>
    <phoneticPr fontId="2" type="noConversion"/>
  </si>
  <si>
    <t>DISP1_FB2 (KB)</t>
    <phoneticPr fontId="2" type="noConversion"/>
  </si>
  <si>
    <t>DISP1_RLE (KB)</t>
    <phoneticPr fontId="2" type="noConversion"/>
  </si>
  <si>
    <t>DISP0_FB1 (KB)</t>
    <phoneticPr fontId="2" type="noConversion"/>
  </si>
  <si>
    <t>DISP0_FB2 (KB)</t>
    <phoneticPr fontId="2" type="noConversion"/>
  </si>
  <si>
    <t>DISP0_RLE (KB)</t>
    <phoneticPr fontId="2" type="noConversion"/>
  </si>
  <si>
    <t>DISP2_FB1 (KB)</t>
    <phoneticPr fontId="2" type="noConversion"/>
  </si>
  <si>
    <t>DISP2_FB2 (KB)</t>
    <phoneticPr fontId="2" type="noConversion"/>
  </si>
  <si>
    <t>DISP2_RLE (KB)</t>
    <phoneticPr fontId="2" type="noConversion"/>
  </si>
  <si>
    <t>DISP2_CAP_OUT_POOL(KB)</t>
    <phoneticPr fontId="2" type="noConversion"/>
  </si>
  <si>
    <t>DISP2_IN_POOL/FB0 (KB)</t>
    <phoneticPr fontId="2" type="noConversion"/>
  </si>
  <si>
    <t>DISP2_CAP_OUT_POOL</t>
    <phoneticPr fontId="2" type="noConversion"/>
  </si>
  <si>
    <t>Display2 (960H)</t>
    <phoneticPr fontId="2" type="noConversion"/>
  </si>
  <si>
    <t>Audio Encode</t>
    <phoneticPr fontId="2" type="noConversion"/>
  </si>
  <si>
    <t>AU_ENC_AU_GRAB_OUT_POOL (KB)</t>
    <phoneticPr fontId="2" type="noConversion"/>
  </si>
  <si>
    <t>Channels</t>
    <phoneticPr fontId="2" type="noConversion"/>
  </si>
  <si>
    <t>Sample rate</t>
    <phoneticPr fontId="2" type="noConversion"/>
  </si>
  <si>
    <t>Bitstream buffer time (ms)</t>
    <phoneticPr fontId="2" type="noConversion"/>
  </si>
  <si>
    <t>Frame samples</t>
    <phoneticPr fontId="2" type="noConversion"/>
  </si>
  <si>
    <t>Dual type</t>
    <phoneticPr fontId="2" type="noConversion"/>
  </si>
  <si>
    <t>Frame buffer count</t>
    <phoneticPr fontId="2" type="noConversion"/>
  </si>
  <si>
    <t>Audio Decode</t>
    <phoneticPr fontId="2" type="noConversion"/>
  </si>
  <si>
    <t>AU_DEC_AU_RENDER_IN_POOL (KB)</t>
    <phoneticPr fontId="2" type="noConversion"/>
  </si>
  <si>
    <t>Sample width(bits)</t>
    <phoneticPr fontId="2" type="noConversion"/>
  </si>
  <si>
    <t>Resolution width</t>
    <phoneticPr fontId="2" type="noConversion"/>
  </si>
  <si>
    <t>Note</t>
    <phoneticPr fontId="2" type="noConversion"/>
  </si>
  <si>
    <t>YUV pixel size (bytes)</t>
    <phoneticPr fontId="2" type="noConversion"/>
  </si>
  <si>
    <t>Src compress ratio</t>
    <phoneticPr fontId="2" type="noConversion"/>
  </si>
  <si>
    <t>Min codec compress ratio</t>
    <phoneticPr fontId="2" type="noConversion"/>
  </si>
  <si>
    <t>YUV buffer size (enc_cap_out)</t>
    <phoneticPr fontId="2" type="noConversion"/>
  </si>
  <si>
    <t>Display Encode Parameters</t>
    <phoneticPr fontId="2" type="noConversion"/>
  </si>
  <si>
    <t>Reference Buffer Size (KB)</t>
    <phoneticPr fontId="2" type="noConversion"/>
  </si>
  <si>
    <t>Reference Buffer Count</t>
    <phoneticPr fontId="2" type="noConversion"/>
  </si>
  <si>
    <t>Motion Detection</t>
    <phoneticPr fontId="2" type="noConversion"/>
  </si>
  <si>
    <t>MD buffer size (KB)</t>
    <phoneticPr fontId="2" type="noConversion"/>
  </si>
  <si>
    <t>Max width</t>
    <phoneticPr fontId="2" type="noConversion"/>
  </si>
  <si>
    <t>Max height</t>
    <phoneticPr fontId="2" type="noConversion"/>
  </si>
  <si>
    <t>1k header</t>
    <phoneticPr fontId="2" type="noConversion"/>
  </si>
  <si>
    <t>CHIP0/DDR0</t>
    <phoneticPr fontId="2" type="noConversion"/>
  </si>
  <si>
    <t>Buf Size</t>
    <phoneticPr fontId="2" type="noConversion"/>
  </si>
  <si>
    <t>Count</t>
    <phoneticPr fontId="2" type="noConversion"/>
  </si>
  <si>
    <t>Total</t>
    <phoneticPr fontId="2" type="noConversion"/>
  </si>
  <si>
    <t>CHIP1/DDR2</t>
    <phoneticPr fontId="2" type="noConversion"/>
  </si>
  <si>
    <t>CHIP2/DDR3</t>
    <phoneticPr fontId="2" type="noConversion"/>
  </si>
  <si>
    <t>CHIP3/DDR4</t>
    <phoneticPr fontId="2" type="noConversion"/>
  </si>
  <si>
    <t>HD_COMMON_MEM_USER_BLK</t>
    <phoneticPr fontId="2" type="noConversion"/>
  </si>
  <si>
    <t>ENC_SCL_OUT_POOL (KB)</t>
    <phoneticPr fontId="2" type="noConversion"/>
  </si>
  <si>
    <t>ENC_OUT_POOL (KB)</t>
    <phoneticPr fontId="2" type="noConversion"/>
  </si>
  <si>
    <t>ENC_SCL_OUT_POOL (KB)</t>
    <phoneticPr fontId="2" type="noConversion"/>
  </si>
  <si>
    <t>videoprocess</t>
    <phoneticPr fontId="2" type="noConversion"/>
  </si>
  <si>
    <t>ENC_SCL_OUT</t>
    <phoneticPr fontId="2" type="noConversion"/>
  </si>
  <si>
    <t>Encode Scaler</t>
    <phoneticPr fontId="2" type="noConversion"/>
  </si>
  <si>
    <t>Channels</t>
    <phoneticPr fontId="2" type="noConversion"/>
  </si>
  <si>
    <t>Video width</t>
    <phoneticPr fontId="2" type="noConversion"/>
  </si>
  <si>
    <t>Video height</t>
    <phoneticPr fontId="2" type="noConversion"/>
  </si>
  <si>
    <t>YUV Buf count</t>
    <phoneticPr fontId="2" type="noConversion"/>
  </si>
  <si>
    <t>Substream Encode</t>
    <phoneticPr fontId="2" type="noConversion"/>
  </si>
  <si>
    <t>HD_COMMON_MEM_DISP0_FB_POOL(FB1+FB2+RLE)</t>
    <phoneticPr fontId="2" type="noConversion"/>
  </si>
  <si>
    <t>HD_COMMON_MEM_DISP1_FB_POOL(FB4+FB5)</t>
    <phoneticPr fontId="2" type="noConversion"/>
  </si>
  <si>
    <t>HD_COMMON_MEM_DISP2_FB_POOL(FB7+FB8)</t>
    <phoneticPr fontId="2" type="noConversion"/>
  </si>
  <si>
    <t>MD buffer count</t>
    <phoneticPr fontId="2" type="noConversion"/>
  </si>
  <si>
    <t>CHIP2</t>
    <phoneticPr fontId="2" type="noConversion"/>
  </si>
  <si>
    <t>HDAL Total Size (KB)</t>
    <phoneticPr fontId="2" type="noConversion"/>
  </si>
  <si>
    <t>Display Enable</t>
    <phoneticPr fontId="2" type="noConversion"/>
  </si>
  <si>
    <t>Display Format</t>
    <phoneticPr fontId="2" type="noConversion"/>
  </si>
  <si>
    <t>Liveview Type</t>
    <phoneticPr fontId="2" type="noConversion"/>
  </si>
  <si>
    <t>Enable</t>
    <phoneticPr fontId="2" type="noConversion"/>
  </si>
  <si>
    <t>Enable</t>
    <phoneticPr fontId="2" type="noConversion"/>
  </si>
  <si>
    <t>Reference buffer number</t>
    <phoneticPr fontId="2" type="noConversion"/>
  </si>
  <si>
    <t>CHIP0</t>
    <phoneticPr fontId="2" type="noConversion"/>
  </si>
  <si>
    <t>CHIP0</t>
    <phoneticPr fontId="2" type="noConversion"/>
  </si>
  <si>
    <t>CHIP0</t>
    <phoneticPr fontId="2" type="noConversion"/>
  </si>
  <si>
    <t>CHIP0</t>
    <phoneticPr fontId="2" type="noConversion"/>
  </si>
  <si>
    <t>HD_COMMON_MEM_ENC_REF_POOL (Encode 1 TMNR)</t>
    <phoneticPr fontId="2" type="noConversion"/>
  </si>
  <si>
    <t>HD_COMMON_MEM_ENC_REF_POOL (Encode 1 REF)</t>
    <phoneticPr fontId="2" type="noConversion"/>
  </si>
  <si>
    <t>HD_COMMON_MEM_ENC_REF_POOL (Encode 2 REF)</t>
    <phoneticPr fontId="2" type="noConversion"/>
  </si>
  <si>
    <t>HD_COMMON_MEM_ENC_REF_POOL (Encode 2 TMNR)</t>
    <phoneticPr fontId="2" type="noConversion"/>
  </si>
  <si>
    <t>HD_COMMON_MEM_ENC_REF_POOL (Substream REF)</t>
    <phoneticPr fontId="2" type="noConversion"/>
  </si>
  <si>
    <t>HD_COMMON_MEM_ENC_REF_POOL (Substream TMNR)</t>
    <phoneticPr fontId="2" type="noConversion"/>
  </si>
  <si>
    <t>TMNR Buffer Size (KB)</t>
    <phoneticPr fontId="2" type="noConversion"/>
  </si>
  <si>
    <t>TMNR Buffer Count</t>
    <phoneticPr fontId="2" type="noConversion"/>
  </si>
  <si>
    <t>Enable</t>
    <phoneticPr fontId="2" type="noConversion"/>
  </si>
  <si>
    <t>Enable</t>
    <phoneticPr fontId="2" type="noConversion"/>
  </si>
  <si>
    <t>YUV buffer size (enc_scl_out)</t>
    <phoneticPr fontId="2" type="noConversion"/>
  </si>
  <si>
    <t>Decode buf size (YUV)</t>
    <phoneticPr fontId="2" type="noConversion"/>
  </si>
  <si>
    <t xml:space="preserve">  Product Specification Calculation v1.09 (20200130)</t>
    <phoneticPr fontId="2" type="noConversion"/>
  </si>
  <si>
    <t>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</si>
</sst>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;[Red]0"/>
  </numFmts>
  <fonts count="21">
    <font>
      <sz val="12"/>
      <name val="新細明體"/>
      <family val="1"/>
      <charset val="136"/>
    </font>
    <font>
      <b/>
      <sz val="12"/>
      <color indexed="9"/>
      <name val="Courier New"/>
      <family val="3"/>
    </font>
    <font>
      <sz val="9"/>
      <name val="新細明體"/>
      <family val="1"/>
      <charset val="136"/>
    </font>
    <font>
      <sz val="12"/>
      <name val="Courier New"/>
      <family val="3"/>
    </font>
    <font>
      <b/>
      <sz val="12"/>
      <name val="Courier New"/>
      <family val="3"/>
    </font>
    <font>
      <sz val="16"/>
      <name val="新細明體"/>
      <family val="1"/>
      <charset val="136"/>
    </font>
    <font>
      <b/>
      <sz val="14"/>
      <name val="新細明體"/>
      <family val="1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新細明體"/>
      <family val="1"/>
      <charset val="136"/>
    </font>
    <font>
      <sz val="12"/>
      <color theme="0"/>
      <name val="新細明體"/>
      <family val="1"/>
      <charset val="136"/>
    </font>
    <font>
      <b/>
      <sz val="12"/>
      <color rgb="FFFFFF00"/>
      <name val="新細明體"/>
      <family val="1"/>
      <charset val="136"/>
    </font>
    <font>
      <b/>
      <sz val="12"/>
      <color theme="0"/>
      <name val="Courier New"/>
      <family val="3"/>
    </font>
    <font>
      <b/>
      <sz val="12"/>
      <color rgb="FFFFFF00"/>
      <name val="Courier New"/>
      <family val="3"/>
    </font>
    <font>
      <b/>
      <sz val="12"/>
      <color rgb="FFFF0000"/>
      <name val="Courier New"/>
      <family val="3"/>
    </font>
    <font>
      <sz val="12"/>
      <color rgb="FFFFFF00"/>
      <name val="新細明體"/>
      <family val="1"/>
      <charset val="136"/>
    </font>
    <font>
      <b/>
      <sz val="12"/>
      <color rgb="FF0033CC"/>
      <name val="新細明體"/>
      <family val="1"/>
      <charset val="136"/>
    </font>
    <font>
      <b/>
      <sz val="16"/>
      <color theme="0"/>
      <name val="Courier New"/>
      <family val="3"/>
    </font>
    <font>
      <sz val="12"/>
      <color theme="0" tint="-4.9989318521683403E-2"/>
      <name val="新細明體"/>
      <family val="1"/>
      <charset val="136"/>
    </font>
    <font>
      <sz val="12"/>
      <color theme="0" tint="-4.9989318521683403E-2"/>
      <name val="Courier New"/>
      <family val="3"/>
    </font>
    <font>
      <sz val="12"/>
      <color theme="0" tint="-0.34998626667073579"/>
      <name val="新細明體"/>
      <family val="1"/>
      <charset val="136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0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10" fillId="0" borderId="0" xfId="0" applyFont="1" applyFill="1">
      <alignment vertical="center"/>
    </xf>
    <xf numFmtId="0" fontId="0" fillId="0" borderId="0" xfId="0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3" fillId="2" borderId="5" xfId="0" applyNumberFormat="1" applyFont="1" applyFill="1" applyBorder="1" applyAlignment="1">
      <alignment horizontal="right" vertical="center" wrapText="1"/>
    </xf>
    <xf numFmtId="176" fontId="3" fillId="2" borderId="1" xfId="0" applyNumberFormat="1" applyFont="1" applyFill="1" applyBorder="1" applyAlignment="1">
      <alignment horizontal="right" vertical="center" wrapText="1"/>
    </xf>
    <xf numFmtId="176" fontId="3" fillId="2" borderId="6" xfId="0" applyNumberFormat="1" applyFont="1" applyFill="1" applyBorder="1" applyAlignment="1">
      <alignment horizontal="right" vertical="center" wrapText="1"/>
    </xf>
    <xf numFmtId="0" fontId="3" fillId="3" borderId="5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3" fillId="3" borderId="6" xfId="0" applyFont="1" applyFill="1" applyBorder="1" applyAlignment="1">
      <alignment horizontal="right" vertical="center" wrapText="1"/>
    </xf>
    <xf numFmtId="0" fontId="3" fillId="4" borderId="5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3" fillId="4" borderId="6" xfId="0" applyFont="1" applyFill="1" applyBorder="1" applyAlignment="1">
      <alignment horizontal="right" vertical="center" wrapText="1"/>
    </xf>
    <xf numFmtId="176" fontId="3" fillId="2" borderId="7" xfId="0" applyNumberFormat="1" applyFont="1" applyFill="1" applyBorder="1" applyAlignment="1">
      <alignment horizontal="right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5" borderId="1" xfId="0" applyFont="1" applyFill="1" applyBorder="1" applyAlignment="1">
      <alignment horizontal="right" vertical="center" wrapText="1"/>
    </xf>
    <xf numFmtId="0" fontId="3" fillId="6" borderId="5" xfId="0" applyFont="1" applyFill="1" applyBorder="1" applyAlignment="1">
      <alignment horizontal="right" vertical="center" wrapText="1"/>
    </xf>
    <xf numFmtId="0" fontId="3" fillId="6" borderId="1" xfId="0" applyFont="1" applyFill="1" applyBorder="1" applyAlignment="1">
      <alignment horizontal="right" vertical="center" wrapText="1"/>
    </xf>
    <xf numFmtId="0" fontId="3" fillId="6" borderId="6" xfId="0" applyFont="1" applyFill="1" applyBorder="1" applyAlignment="1">
      <alignment horizontal="right" vertical="center" wrapText="1"/>
    </xf>
    <xf numFmtId="0" fontId="11" fillId="7" borderId="0" xfId="0" applyFont="1" applyFill="1" applyAlignment="1">
      <alignment horizontal="center" vertical="center"/>
    </xf>
    <xf numFmtId="0" fontId="0" fillId="0" borderId="14" xfId="0" applyBorder="1" applyAlignment="1">
      <alignment horizontal="right" vertical="center"/>
    </xf>
    <xf numFmtId="0" fontId="0" fillId="8" borderId="14" xfId="0" applyFont="1" applyFill="1" applyBorder="1" applyAlignment="1">
      <alignment horizontal="right" vertical="center"/>
    </xf>
    <xf numFmtId="0" fontId="3" fillId="5" borderId="15" xfId="0" applyFont="1" applyFill="1" applyBorder="1" applyAlignment="1">
      <alignment horizontal="right" vertical="center" wrapText="1"/>
    </xf>
    <xf numFmtId="0" fontId="3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1" fillId="9" borderId="19" xfId="0" applyNumberFormat="1" applyFont="1" applyFill="1" applyBorder="1" applyAlignment="1" applyProtection="1">
      <alignment horizontal="center" vertical="center" wrapText="1"/>
    </xf>
    <xf numFmtId="0" fontId="12" fillId="9" borderId="1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right" vertical="center" wrapText="1"/>
    </xf>
    <xf numFmtId="0" fontId="0" fillId="0" borderId="14" xfId="0" applyFont="1" applyBorder="1" applyAlignment="1">
      <alignment horizontal="right" vertical="center"/>
    </xf>
    <xf numFmtId="0" fontId="1" fillId="9" borderId="20" xfId="0" applyNumberFormat="1" applyFont="1" applyFill="1" applyBorder="1" applyAlignment="1" applyProtection="1">
      <alignment horizontal="center" vertical="center" wrapText="1"/>
    </xf>
    <xf numFmtId="0" fontId="12" fillId="9" borderId="15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13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0" fillId="8" borderId="1" xfId="0" applyFont="1" applyFill="1" applyBorder="1" applyAlignment="1">
      <alignment horizontal="right" vertical="center"/>
    </xf>
    <xf numFmtId="0" fontId="0" fillId="0" borderId="1" xfId="0" applyFont="1" applyFill="1" applyBorder="1" applyAlignment="1">
      <alignment horizontal="right" vertical="center"/>
    </xf>
    <xf numFmtId="0" fontId="0" fillId="0" borderId="1" xfId="0" applyFont="1" applyBorder="1" applyAlignment="1">
      <alignment horizontal="right" vertical="center"/>
    </xf>
    <xf numFmtId="49" fontId="0" fillId="0" borderId="1" xfId="0" applyNumberFormat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right" vertical="center" wrapText="1"/>
    </xf>
    <xf numFmtId="0" fontId="0" fillId="0" borderId="0" xfId="0" applyFont="1" applyFill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0" fontId="0" fillId="0" borderId="2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2" fillId="9" borderId="24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23" xfId="0" applyFill="1" applyBorder="1" applyAlignment="1">
      <alignment horizontal="center" vertical="center"/>
    </xf>
    <xf numFmtId="0" fontId="0" fillId="0" borderId="16" xfId="0" applyBorder="1">
      <alignment vertical="center"/>
    </xf>
    <xf numFmtId="0" fontId="0" fillId="8" borderId="1" xfId="0" applyFont="1" applyFill="1" applyBorder="1" applyAlignment="1">
      <alignment horizontal="right" vertical="center"/>
    </xf>
    <xf numFmtId="0" fontId="12" fillId="10" borderId="15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1" fillId="10" borderId="20" xfId="0" applyNumberFormat="1" applyFont="1" applyFill="1" applyBorder="1" applyAlignment="1" applyProtection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4" xfId="0" applyFill="1" applyBorder="1" applyAlignment="1">
      <alignment horizontal="right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Font="1" applyBorder="1" applyAlignment="1" applyProtection="1">
      <alignment horizontal="center" vertical="center"/>
      <protection locked="0"/>
    </xf>
    <xf numFmtId="0" fontId="1" fillId="9" borderId="26" xfId="0" applyNumberFormat="1" applyFont="1" applyFill="1" applyBorder="1" applyAlignment="1" applyProtection="1">
      <alignment horizontal="center" vertical="center" wrapText="1"/>
    </xf>
    <xf numFmtId="0" fontId="1" fillId="9" borderId="27" xfId="0" applyNumberFormat="1" applyFont="1" applyFill="1" applyBorder="1" applyAlignment="1" applyProtection="1">
      <alignment horizontal="center" vertical="center" wrapText="1"/>
    </xf>
    <xf numFmtId="0" fontId="0" fillId="11" borderId="1" xfId="0" applyFont="1" applyFill="1" applyBorder="1" applyAlignment="1">
      <alignment horizontal="right" vertical="center"/>
    </xf>
    <xf numFmtId="0" fontId="3" fillId="0" borderId="14" xfId="0" applyFont="1" applyBorder="1" applyAlignment="1">
      <alignment horizontal="left" vertical="center"/>
    </xf>
    <xf numFmtId="0" fontId="14" fillId="8" borderId="14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right" vertical="center"/>
    </xf>
    <xf numFmtId="0" fontId="0" fillId="0" borderId="0" xfId="0" applyBorder="1">
      <alignment vertical="center"/>
    </xf>
    <xf numFmtId="0" fontId="3" fillId="5" borderId="7" xfId="0" applyFont="1" applyFill="1" applyBorder="1" applyAlignment="1">
      <alignment horizontal="right" vertical="center" wrapText="1"/>
    </xf>
    <xf numFmtId="0" fontId="3" fillId="0" borderId="8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6" fillId="0" borderId="1" xfId="0" applyFont="1" applyFill="1" applyBorder="1" applyAlignment="1">
      <alignment horizontal="right" vertical="center" wrapText="1"/>
    </xf>
    <xf numFmtId="0" fontId="16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right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15" borderId="9" xfId="0" applyFill="1" applyBorder="1" applyAlignment="1">
      <alignment vertical="center" wrapText="1"/>
    </xf>
    <xf numFmtId="0" fontId="0" fillId="15" borderId="0" xfId="0" applyFill="1" applyBorder="1" applyAlignment="1">
      <alignment vertical="center" wrapText="1"/>
    </xf>
    <xf numFmtId="0" fontId="0" fillId="15" borderId="10" xfId="0" applyFill="1" applyBorder="1" applyAlignment="1">
      <alignment vertical="center" wrapText="1"/>
    </xf>
    <xf numFmtId="0" fontId="0" fillId="15" borderId="11" xfId="0" applyFill="1" applyBorder="1" applyAlignment="1">
      <alignment vertical="center" wrapText="1"/>
    </xf>
    <xf numFmtId="0" fontId="0" fillId="15" borderId="12" xfId="0" applyFill="1" applyBorder="1" applyAlignment="1">
      <alignment vertical="center" wrapText="1"/>
    </xf>
    <xf numFmtId="0" fontId="0" fillId="15" borderId="13" xfId="0" applyFill="1" applyBorder="1" applyAlignment="1">
      <alignment vertical="center" wrapText="1"/>
    </xf>
    <xf numFmtId="0" fontId="18" fillId="15" borderId="23" xfId="0" applyFont="1" applyFill="1" applyBorder="1" applyAlignment="1">
      <alignment horizontal="center" vertical="center"/>
    </xf>
    <xf numFmtId="0" fontId="18" fillId="15" borderId="28" xfId="0" applyFont="1" applyFill="1" applyBorder="1" applyAlignment="1">
      <alignment horizontal="center" vertical="center"/>
    </xf>
    <xf numFmtId="0" fontId="18" fillId="15" borderId="29" xfId="0" applyFont="1" applyFill="1" applyBorder="1" applyAlignment="1">
      <alignment horizontal="center" vertical="center"/>
    </xf>
    <xf numFmtId="0" fontId="18" fillId="15" borderId="9" xfId="0" applyFont="1" applyFill="1" applyBorder="1" applyAlignment="1">
      <alignment horizontal="center" vertical="center"/>
    </xf>
    <xf numFmtId="0" fontId="18" fillId="15" borderId="0" xfId="0" applyFont="1" applyFill="1" applyBorder="1" applyAlignment="1">
      <alignment horizontal="center" vertical="center"/>
    </xf>
    <xf numFmtId="0" fontId="18" fillId="15" borderId="10" xfId="0" applyFont="1" applyFill="1" applyBorder="1" applyAlignment="1">
      <alignment horizontal="center" vertical="center"/>
    </xf>
    <xf numFmtId="0" fontId="18" fillId="15" borderId="11" xfId="0" applyFont="1" applyFill="1" applyBorder="1" applyAlignment="1">
      <alignment horizontal="center" vertical="center"/>
    </xf>
    <xf numFmtId="0" fontId="18" fillId="15" borderId="12" xfId="0" applyFont="1" applyFill="1" applyBorder="1" applyAlignment="1">
      <alignment horizontal="center" vertical="center"/>
    </xf>
    <xf numFmtId="0" fontId="18" fillId="15" borderId="13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right" vertical="center"/>
    </xf>
    <xf numFmtId="0" fontId="18" fillId="15" borderId="14" xfId="0" applyFont="1" applyFill="1" applyBorder="1" applyAlignment="1">
      <alignment horizontal="center" vertical="center"/>
    </xf>
    <xf numFmtId="0" fontId="18" fillId="15" borderId="38" xfId="0" applyFont="1" applyFill="1" applyBorder="1" applyAlignment="1">
      <alignment horizontal="center" vertical="center"/>
    </xf>
    <xf numFmtId="0" fontId="18" fillId="15" borderId="30" xfId="0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8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20" fillId="0" borderId="1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4" fillId="4" borderId="31" xfId="0" applyFont="1" applyFill="1" applyBorder="1" applyAlignment="1">
      <alignment horizontal="center" vertical="center" wrapText="1"/>
    </xf>
    <xf numFmtId="0" fontId="4" fillId="4" borderId="32" xfId="0" applyFont="1" applyFill="1" applyBorder="1" applyAlignment="1">
      <alignment horizontal="center" vertical="center" wrapText="1"/>
    </xf>
    <xf numFmtId="0" fontId="4" fillId="4" borderId="33" xfId="0" applyFont="1" applyFill="1" applyBorder="1" applyAlignment="1">
      <alignment horizontal="center" vertical="center" wrapText="1"/>
    </xf>
    <xf numFmtId="0" fontId="4" fillId="4" borderId="37" xfId="0" applyFont="1" applyFill="1" applyBorder="1" applyAlignment="1">
      <alignment horizontal="center" vertical="center" wrapText="1"/>
    </xf>
    <xf numFmtId="0" fontId="11" fillId="12" borderId="14" xfId="0" applyFont="1" applyFill="1" applyBorder="1" applyAlignment="1">
      <alignment horizontal="right" vertical="center" wrapText="1"/>
    </xf>
    <xf numFmtId="0" fontId="11" fillId="12" borderId="30" xfId="0" applyFont="1" applyFill="1" applyBorder="1" applyAlignment="1">
      <alignment horizontal="right" vertical="center" wrapText="1"/>
    </xf>
    <xf numFmtId="0" fontId="4" fillId="5" borderId="34" xfId="0" applyFont="1" applyFill="1" applyBorder="1" applyAlignment="1">
      <alignment horizontal="center" vertical="center" wrapText="1"/>
    </xf>
    <xf numFmtId="0" fontId="4" fillId="5" borderId="32" xfId="0" applyFont="1" applyFill="1" applyBorder="1" applyAlignment="1">
      <alignment horizontal="center" vertical="center" wrapText="1"/>
    </xf>
    <xf numFmtId="0" fontId="4" fillId="5" borderId="33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4" fillId="3" borderId="33" xfId="0" applyFont="1" applyFill="1" applyBorder="1" applyAlignment="1">
      <alignment horizontal="center" vertical="center" wrapText="1"/>
    </xf>
    <xf numFmtId="0" fontId="4" fillId="3" borderId="37" xfId="0" applyFont="1" applyFill="1" applyBorder="1" applyAlignment="1">
      <alignment horizontal="center" vertical="center" wrapText="1"/>
    </xf>
    <xf numFmtId="0" fontId="17" fillId="9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3" fillId="12" borderId="14" xfId="0" applyFont="1" applyFill="1" applyBorder="1" applyAlignment="1">
      <alignment horizontal="center" vertical="center"/>
    </xf>
    <xf numFmtId="0" fontId="15" fillId="12" borderId="38" xfId="0" applyFont="1" applyFill="1" applyBorder="1" applyAlignment="1">
      <alignment vertical="center"/>
    </xf>
    <xf numFmtId="0" fontId="15" fillId="12" borderId="30" xfId="0" applyFont="1" applyFill="1" applyBorder="1" applyAlignment="1">
      <alignment vertical="center"/>
    </xf>
    <xf numFmtId="0" fontId="4" fillId="2" borderId="33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49" fontId="6" fillId="0" borderId="14" xfId="0" applyNumberFormat="1" applyFont="1" applyFill="1" applyBorder="1" applyAlignment="1">
      <alignment horizontal="right" vertical="center"/>
    </xf>
    <xf numFmtId="49" fontId="0" fillId="0" borderId="38" xfId="0" applyNumberFormat="1" applyBorder="1" applyAlignment="1">
      <alignment vertical="center"/>
    </xf>
    <xf numFmtId="49" fontId="0" fillId="0" borderId="30" xfId="0" applyNumberFormat="1" applyBorder="1" applyAlignment="1">
      <alignment vertical="center"/>
    </xf>
    <xf numFmtId="0" fontId="6" fillId="13" borderId="14" xfId="0" applyFont="1" applyFill="1" applyBorder="1" applyAlignment="1">
      <alignment horizontal="right" vertical="center"/>
    </xf>
    <xf numFmtId="0" fontId="6" fillId="13" borderId="30" xfId="0" applyFont="1" applyFill="1" applyBorder="1" applyAlignment="1">
      <alignment horizontal="right" vertical="center"/>
    </xf>
    <xf numFmtId="0" fontId="4" fillId="6" borderId="35" xfId="0" applyFont="1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 wrapText="1"/>
    </xf>
    <xf numFmtId="0" fontId="0" fillId="6" borderId="36" xfId="0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vertical="center"/>
    </xf>
    <xf numFmtId="0" fontId="17" fillId="9" borderId="0" xfId="0" applyFont="1" applyFill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3" fillId="12" borderId="9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5" xfId="0" applyFont="1" applyBorder="1" applyAlignment="1">
      <alignment horizontal="right" vertical="center"/>
    </xf>
    <xf numFmtId="0" fontId="0" fillId="0" borderId="17" xfId="0" applyBorder="1" applyAlignment="1">
      <alignment horizontal="right" vertical="center"/>
    </xf>
    <xf numFmtId="0" fontId="12" fillId="9" borderId="39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1" xfId="0" applyBorder="1" applyAlignment="1">
      <alignment horizontal="right" vertical="center" wrapText="1"/>
    </xf>
    <xf numFmtId="0" fontId="0" fillId="0" borderId="32" xfId="0" applyBorder="1" applyAlignment="1">
      <alignment horizontal="right" vertical="center"/>
    </xf>
    <xf numFmtId="0" fontId="0" fillId="0" borderId="33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0" fillId="0" borderId="40" xfId="0" applyBorder="1" applyAlignment="1">
      <alignment horizontal="right" vertical="center"/>
    </xf>
    <xf numFmtId="0" fontId="0" fillId="0" borderId="41" xfId="0" applyBorder="1" applyAlignment="1">
      <alignment horizontal="right" vertical="center"/>
    </xf>
    <xf numFmtId="0" fontId="0" fillId="8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8" borderId="37" xfId="0" applyFont="1" applyFill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8" borderId="32" xfId="0" applyFont="1" applyFill="1" applyBorder="1" applyAlignment="1">
      <alignment horizontal="right" vertical="center"/>
    </xf>
    <xf numFmtId="0" fontId="0" fillId="0" borderId="0" xfId="0" applyAlignment="1">
      <alignment vertical="center" wrapText="1"/>
    </xf>
    <xf numFmtId="0" fontId="10" fillId="14" borderId="15" xfId="0" applyFont="1" applyFill="1" applyBorder="1" applyAlignment="1">
      <alignment horizontal="center" vertical="center"/>
    </xf>
    <xf numFmtId="0" fontId="10" fillId="14" borderId="18" xfId="0" applyFont="1" applyFill="1" applyBorder="1" applyAlignment="1">
      <alignment horizontal="center" vertical="center"/>
    </xf>
    <xf numFmtId="0" fontId="10" fillId="14" borderId="7" xfId="0" applyFont="1" applyFill="1" applyBorder="1" applyAlignment="1">
      <alignment horizontal="center" vertical="center"/>
    </xf>
    <xf numFmtId="0" fontId="10" fillId="14" borderId="0" xfId="0" applyFont="1" applyFill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</cellXfs>
  <cellStyles count="1">
    <cellStyle name="一般" xfId="0" builtinId="0"/>
  </cellStyles>
  <dxfs count="11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fgColor indexed="64"/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fgColor indexed="64"/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fgColor indexed="64"/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2" defaultPivotStyle="PivotStyleLight16"/>
  <colors>
    <mruColors>
      <color rgb="FF93F1D2"/>
      <color rgb="FF58EA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2"/>
  <dimension ref="A1:P51"/>
  <sheetViews>
    <sheetView tabSelected="1" topLeftCell="A19" zoomScale="85" zoomScaleNormal="85" workbookViewId="0">
      <selection activeCell="G52" sqref="G52"/>
    </sheetView>
  </sheetViews>
  <sheetFormatPr defaultColWidth="9" defaultRowHeight="16.5"/>
  <cols>
    <col min="1" max="1" width="13.5" style="1" customWidth="1"/>
    <col min="2" max="2" width="21.25" style="18" bestFit="1" customWidth="1"/>
    <col min="3" max="3" width="12.5" style="12" bestFit="1" customWidth="1"/>
    <col min="4" max="4" width="2.125" style="1" customWidth="1"/>
    <col min="5" max="5" width="12" style="1" customWidth="1"/>
    <col min="6" max="6" width="20.5" style="1" customWidth="1"/>
    <col min="7" max="7" width="10.5" style="1" customWidth="1"/>
    <col min="8" max="8" width="4" style="1" customWidth="1"/>
    <col min="9" max="9" width="13.125" style="1" customWidth="1"/>
    <col min="10" max="10" width="20.25" style="1" customWidth="1"/>
    <col min="11" max="11" width="10" style="1" customWidth="1"/>
    <col min="12" max="12" width="1.25" style="1" customWidth="1"/>
    <col min="13" max="13" width="13.5" style="1" customWidth="1"/>
    <col min="14" max="14" width="20.625" style="1" customWidth="1"/>
    <col min="15" max="15" width="11.125" style="1" customWidth="1"/>
    <col min="16" max="16" width="1" style="1" customWidth="1"/>
    <col min="17" max="16384" width="9" style="1"/>
  </cols>
  <sheetData>
    <row r="1" spans="1:16" s="2" customFormat="1" ht="31.9" customHeight="1">
      <c r="A1" s="154" t="s">
        <v>232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</row>
    <row r="2" spans="1:16" s="2" customFormat="1" ht="19.5">
      <c r="A2" s="168" t="s">
        <v>42</v>
      </c>
      <c r="B2" s="169"/>
      <c r="C2" s="165" t="s">
        <v>233</v>
      </c>
      <c r="D2" s="166"/>
      <c r="E2" s="167"/>
      <c r="F2" s="107"/>
      <c r="G2" s="36"/>
      <c r="H2" s="36"/>
      <c r="I2" s="36"/>
      <c r="J2" s="36"/>
      <c r="K2" s="36"/>
      <c r="L2" s="36"/>
      <c r="M2" s="36"/>
      <c r="N2" s="36"/>
      <c r="O2" s="36"/>
      <c r="P2" s="36"/>
    </row>
    <row r="3" spans="1:16" s="2" customFormat="1" ht="15.75">
      <c r="A3" s="14"/>
      <c r="B3" s="14"/>
      <c r="C3" s="14"/>
      <c r="D3" s="14"/>
      <c r="E3" s="14"/>
    </row>
    <row r="4" spans="1:16" s="2" customFormat="1">
      <c r="A4" s="156" t="s">
        <v>46</v>
      </c>
      <c r="B4" s="157"/>
      <c r="C4" s="158"/>
      <c r="D4" s="15"/>
      <c r="E4" s="173" t="s">
        <v>47</v>
      </c>
      <c r="F4" s="174"/>
      <c r="G4" s="174"/>
      <c r="I4" s="173" t="s">
        <v>48</v>
      </c>
      <c r="J4" s="174"/>
      <c r="K4" s="174"/>
      <c r="M4" s="173" t="s">
        <v>45</v>
      </c>
      <c r="N4" s="174"/>
      <c r="O4" s="174"/>
    </row>
    <row r="5" spans="1:16" ht="16.149999999999999" customHeight="1">
      <c r="A5" s="159" t="s">
        <v>111</v>
      </c>
      <c r="B5" s="34" t="s">
        <v>228</v>
      </c>
      <c r="C5" s="35">
        <v>1</v>
      </c>
      <c r="D5" s="13"/>
      <c r="E5" s="112"/>
      <c r="F5" s="113"/>
      <c r="G5" s="114"/>
      <c r="I5" s="112"/>
      <c r="J5" s="113"/>
      <c r="K5" s="114"/>
      <c r="M5" s="112"/>
      <c r="N5" s="113"/>
      <c r="O5" s="114"/>
    </row>
    <row r="6" spans="1:16" s="108" customFormat="1" ht="16.149999999999999" customHeight="1">
      <c r="A6" s="160"/>
      <c r="B6" s="34" t="s">
        <v>211</v>
      </c>
      <c r="C6" s="35">
        <v>1.5</v>
      </c>
      <c r="D6" s="13"/>
      <c r="E6" s="112"/>
      <c r="F6" s="113"/>
      <c r="G6" s="114"/>
      <c r="I6" s="112"/>
      <c r="J6" s="113"/>
      <c r="K6" s="114"/>
      <c r="M6" s="112"/>
      <c r="N6" s="113"/>
      <c r="O6" s="114"/>
    </row>
    <row r="7" spans="1:16" s="108" customFormat="1" ht="16.149999999999999" customHeight="1">
      <c r="A7" s="160"/>
      <c r="B7" s="34" t="s">
        <v>212</v>
      </c>
      <c r="C7" s="35">
        <v>2</v>
      </c>
      <c r="D7" s="13"/>
      <c r="E7" s="112"/>
      <c r="F7" s="113"/>
      <c r="G7" s="114"/>
      <c r="I7" s="112"/>
      <c r="J7" s="113"/>
      <c r="K7" s="114"/>
      <c r="M7" s="112"/>
      <c r="N7" s="113"/>
      <c r="O7" s="114"/>
    </row>
    <row r="8" spans="1:16">
      <c r="A8" s="160"/>
      <c r="B8" s="26" t="s">
        <v>116</v>
      </c>
      <c r="C8" s="20">
        <v>1920</v>
      </c>
      <c r="D8" s="13"/>
      <c r="E8" s="112"/>
      <c r="F8" s="113"/>
      <c r="G8" s="114"/>
      <c r="I8" s="112"/>
      <c r="J8" s="113"/>
      <c r="K8" s="114"/>
      <c r="M8" s="112"/>
      <c r="N8" s="113"/>
      <c r="O8" s="114"/>
    </row>
    <row r="9" spans="1:16">
      <c r="A9" s="160"/>
      <c r="B9" s="26" t="s">
        <v>36</v>
      </c>
      <c r="C9" s="20">
        <v>1080</v>
      </c>
      <c r="D9" s="13"/>
      <c r="E9" s="112"/>
      <c r="F9" s="113"/>
      <c r="G9" s="114"/>
      <c r="I9" s="112"/>
      <c r="J9" s="113"/>
      <c r="K9" s="114"/>
      <c r="M9" s="112"/>
      <c r="N9" s="113"/>
      <c r="O9" s="114"/>
    </row>
    <row r="10" spans="1:16">
      <c r="A10" s="160"/>
      <c r="B10" s="26" t="s">
        <v>114</v>
      </c>
      <c r="C10" s="20">
        <v>1024</v>
      </c>
      <c r="D10" s="13"/>
      <c r="E10" s="112"/>
      <c r="F10" s="113"/>
      <c r="G10" s="114"/>
      <c r="I10" s="112"/>
      <c r="J10" s="113"/>
      <c r="K10" s="114"/>
      <c r="M10" s="112"/>
      <c r="N10" s="113"/>
      <c r="O10" s="114"/>
    </row>
    <row r="11" spans="1:16" ht="17.25" thickBot="1">
      <c r="A11" s="161"/>
      <c r="B11" s="27" t="s">
        <v>115</v>
      </c>
      <c r="C11" s="21">
        <v>768</v>
      </c>
      <c r="D11" s="13"/>
      <c r="E11" s="112"/>
      <c r="F11" s="113"/>
      <c r="G11" s="114"/>
      <c r="I11" s="112"/>
      <c r="J11" s="113"/>
      <c r="K11" s="114"/>
      <c r="M11" s="112"/>
      <c r="N11" s="113"/>
      <c r="O11" s="114"/>
    </row>
    <row r="12" spans="1:16" ht="16.149999999999999" customHeight="1">
      <c r="A12" s="162" t="s">
        <v>112</v>
      </c>
      <c r="B12" s="25" t="s">
        <v>229</v>
      </c>
      <c r="C12" s="19">
        <v>1</v>
      </c>
      <c r="D12" s="12"/>
      <c r="E12" s="112"/>
      <c r="F12" s="113"/>
      <c r="G12" s="114"/>
      <c r="I12" s="112"/>
      <c r="J12" s="113"/>
      <c r="K12" s="114"/>
      <c r="M12" s="112"/>
      <c r="N12" s="113"/>
      <c r="O12" s="114"/>
    </row>
    <row r="13" spans="1:16">
      <c r="A13" s="163"/>
      <c r="B13" s="26" t="s">
        <v>35</v>
      </c>
      <c r="C13" s="20">
        <v>720</v>
      </c>
      <c r="D13" s="13"/>
      <c r="E13" s="112"/>
      <c r="F13" s="113"/>
      <c r="G13" s="114"/>
      <c r="I13" s="112"/>
      <c r="J13" s="113"/>
      <c r="K13" s="114"/>
      <c r="M13" s="112"/>
      <c r="N13" s="113"/>
      <c r="O13" s="114"/>
    </row>
    <row r="14" spans="1:16" ht="17.25" thickBot="1">
      <c r="A14" s="164"/>
      <c r="B14" s="27" t="s">
        <v>36</v>
      </c>
      <c r="C14" s="21">
        <v>576</v>
      </c>
      <c r="D14" s="13"/>
      <c r="E14" s="112"/>
      <c r="F14" s="113"/>
      <c r="G14" s="114"/>
      <c r="I14" s="112"/>
      <c r="J14" s="113"/>
      <c r="K14" s="114"/>
      <c r="M14" s="112"/>
      <c r="N14" s="113"/>
      <c r="O14" s="114"/>
    </row>
    <row r="15" spans="1:16" ht="16.149999999999999" customHeight="1">
      <c r="A15" s="162" t="s">
        <v>113</v>
      </c>
      <c r="B15" s="25" t="s">
        <v>228</v>
      </c>
      <c r="C15" s="19">
        <v>0</v>
      </c>
      <c r="E15" s="112"/>
      <c r="F15" s="113"/>
      <c r="G15" s="114"/>
      <c r="I15" s="112"/>
      <c r="J15" s="113"/>
      <c r="K15" s="114"/>
      <c r="M15" s="112"/>
      <c r="N15" s="113"/>
      <c r="O15" s="114"/>
    </row>
    <row r="16" spans="1:16">
      <c r="A16" s="163"/>
      <c r="B16" s="26" t="s">
        <v>35</v>
      </c>
      <c r="C16" s="22">
        <v>720</v>
      </c>
      <c r="E16" s="112"/>
      <c r="F16" s="113"/>
      <c r="G16" s="114"/>
      <c r="I16" s="112"/>
      <c r="J16" s="113"/>
      <c r="K16" s="114"/>
      <c r="M16" s="112"/>
      <c r="N16" s="113"/>
      <c r="O16" s="114"/>
    </row>
    <row r="17" spans="1:15" ht="17.25" thickBot="1">
      <c r="A17" s="164"/>
      <c r="B17" s="27" t="s">
        <v>36</v>
      </c>
      <c r="C17" s="23">
        <v>576</v>
      </c>
      <c r="E17" s="112"/>
      <c r="F17" s="113"/>
      <c r="G17" s="114"/>
      <c r="I17" s="112"/>
      <c r="J17" s="113"/>
      <c r="K17" s="114"/>
      <c r="M17" s="112"/>
      <c r="N17" s="113"/>
      <c r="O17" s="114"/>
    </row>
    <row r="18" spans="1:15">
      <c r="A18" s="150" t="s">
        <v>41</v>
      </c>
      <c r="B18" s="28" t="s">
        <v>6</v>
      </c>
      <c r="C18" s="24">
        <v>4</v>
      </c>
      <c r="E18" s="150" t="s">
        <v>41</v>
      </c>
      <c r="F18" s="28" t="s">
        <v>6</v>
      </c>
      <c r="G18" s="24">
        <v>8</v>
      </c>
      <c r="I18" s="150" t="s">
        <v>41</v>
      </c>
      <c r="J18" s="28" t="s">
        <v>6</v>
      </c>
      <c r="K18" s="24">
        <v>4</v>
      </c>
      <c r="M18" s="150" t="s">
        <v>41</v>
      </c>
      <c r="N18" s="28" t="s">
        <v>6</v>
      </c>
      <c r="O18" s="24">
        <v>4</v>
      </c>
    </row>
    <row r="19" spans="1:15">
      <c r="A19" s="151"/>
      <c r="B19" s="29" t="s">
        <v>37</v>
      </c>
      <c r="C19" s="22">
        <v>1920</v>
      </c>
      <c r="E19" s="151"/>
      <c r="F19" s="29" t="s">
        <v>37</v>
      </c>
      <c r="G19" s="22">
        <v>1920</v>
      </c>
      <c r="I19" s="151"/>
      <c r="J19" s="29" t="s">
        <v>37</v>
      </c>
      <c r="K19" s="22">
        <v>1920</v>
      </c>
      <c r="M19" s="151"/>
      <c r="N19" s="29" t="s">
        <v>37</v>
      </c>
      <c r="O19" s="22">
        <v>1920</v>
      </c>
    </row>
    <row r="20" spans="1:15">
      <c r="A20" s="152"/>
      <c r="B20" s="62" t="s">
        <v>85</v>
      </c>
      <c r="C20" s="45">
        <v>1080</v>
      </c>
      <c r="E20" s="152"/>
      <c r="F20" s="62" t="s">
        <v>85</v>
      </c>
      <c r="G20" s="45">
        <v>1088</v>
      </c>
      <c r="I20" s="152"/>
      <c r="J20" s="62" t="s">
        <v>85</v>
      </c>
      <c r="K20" s="45">
        <v>1088</v>
      </c>
      <c r="M20" s="152"/>
      <c r="N20" s="62" t="s">
        <v>85</v>
      </c>
      <c r="O20" s="45">
        <v>1088</v>
      </c>
    </row>
    <row r="21" spans="1:15" ht="17.25" thickBot="1">
      <c r="A21" s="153"/>
      <c r="B21" s="30" t="s">
        <v>87</v>
      </c>
      <c r="C21" s="23">
        <v>4</v>
      </c>
      <c r="E21" s="153"/>
      <c r="F21" s="30" t="s">
        <v>87</v>
      </c>
      <c r="G21" s="23">
        <v>4</v>
      </c>
      <c r="I21" s="153"/>
      <c r="J21" s="30" t="s">
        <v>87</v>
      </c>
      <c r="K21" s="23">
        <v>4</v>
      </c>
      <c r="M21" s="153"/>
      <c r="N21" s="30" t="s">
        <v>87</v>
      </c>
      <c r="O21" s="23">
        <v>4</v>
      </c>
    </row>
    <row r="22" spans="1:15">
      <c r="A22" s="150" t="s">
        <v>38</v>
      </c>
      <c r="B22" s="28" t="s">
        <v>6</v>
      </c>
      <c r="C22" s="24">
        <v>0</v>
      </c>
      <c r="E22" s="150" t="s">
        <v>38</v>
      </c>
      <c r="F22" s="28" t="s">
        <v>6</v>
      </c>
      <c r="G22" s="24">
        <v>0</v>
      </c>
      <c r="I22" s="150" t="s">
        <v>38</v>
      </c>
      <c r="J22" s="28" t="s">
        <v>6</v>
      </c>
      <c r="K22" s="24">
        <v>0</v>
      </c>
      <c r="M22" s="150" t="s">
        <v>38</v>
      </c>
      <c r="N22" s="28" t="s">
        <v>6</v>
      </c>
      <c r="O22" s="24">
        <v>0</v>
      </c>
    </row>
    <row r="23" spans="1:15">
      <c r="A23" s="151"/>
      <c r="B23" s="29" t="s">
        <v>37</v>
      </c>
      <c r="C23" s="22">
        <v>2560</v>
      </c>
      <c r="E23" s="151"/>
      <c r="F23" s="29" t="s">
        <v>37</v>
      </c>
      <c r="G23" s="22">
        <v>2560</v>
      </c>
      <c r="I23" s="151"/>
      <c r="J23" s="29" t="s">
        <v>37</v>
      </c>
      <c r="K23" s="22">
        <v>2560</v>
      </c>
      <c r="M23" s="151"/>
      <c r="N23" s="29" t="s">
        <v>37</v>
      </c>
      <c r="O23" s="22">
        <v>2560</v>
      </c>
    </row>
    <row r="24" spans="1:15">
      <c r="A24" s="152"/>
      <c r="B24" s="62" t="s">
        <v>85</v>
      </c>
      <c r="C24" s="45">
        <v>1440</v>
      </c>
      <c r="E24" s="152"/>
      <c r="F24" s="62" t="s">
        <v>85</v>
      </c>
      <c r="G24" s="45">
        <v>1440</v>
      </c>
      <c r="I24" s="152"/>
      <c r="J24" s="62" t="s">
        <v>85</v>
      </c>
      <c r="K24" s="45">
        <v>1440</v>
      </c>
      <c r="M24" s="152"/>
      <c r="N24" s="62" t="s">
        <v>85</v>
      </c>
      <c r="O24" s="45">
        <v>1440</v>
      </c>
    </row>
    <row r="25" spans="1:15" ht="17.25" thickBot="1">
      <c r="A25" s="153"/>
      <c r="B25" s="30" t="s">
        <v>87</v>
      </c>
      <c r="C25" s="23">
        <v>4</v>
      </c>
      <c r="E25" s="153"/>
      <c r="F25" s="30" t="s">
        <v>87</v>
      </c>
      <c r="G25" s="23">
        <v>4</v>
      </c>
      <c r="I25" s="153"/>
      <c r="J25" s="30" t="s">
        <v>87</v>
      </c>
      <c r="K25" s="23">
        <v>4</v>
      </c>
      <c r="M25" s="153"/>
      <c r="N25" s="30" t="s">
        <v>87</v>
      </c>
      <c r="O25" s="23">
        <v>4</v>
      </c>
    </row>
    <row r="26" spans="1:15" ht="16.149999999999999" customHeight="1">
      <c r="A26" s="141" t="s">
        <v>44</v>
      </c>
      <c r="B26" s="31" t="s">
        <v>6</v>
      </c>
      <c r="C26" s="24">
        <v>2</v>
      </c>
      <c r="E26" s="141" t="s">
        <v>44</v>
      </c>
      <c r="F26" s="31" t="s">
        <v>6</v>
      </c>
      <c r="G26" s="24">
        <v>8</v>
      </c>
      <c r="I26" s="141" t="s">
        <v>44</v>
      </c>
      <c r="J26" s="31" t="s">
        <v>6</v>
      </c>
      <c r="K26" s="24">
        <v>4</v>
      </c>
      <c r="M26" s="141" t="s">
        <v>44</v>
      </c>
      <c r="N26" s="31" t="s">
        <v>6</v>
      </c>
      <c r="O26" s="24">
        <v>4</v>
      </c>
    </row>
    <row r="27" spans="1:15">
      <c r="A27" s="142"/>
      <c r="B27" s="32" t="s">
        <v>37</v>
      </c>
      <c r="C27" s="22">
        <v>1920</v>
      </c>
      <c r="E27" s="142"/>
      <c r="F27" s="32" t="s">
        <v>37</v>
      </c>
      <c r="G27" s="22">
        <v>1920</v>
      </c>
      <c r="I27" s="142"/>
      <c r="J27" s="32" t="s">
        <v>37</v>
      </c>
      <c r="K27" s="22">
        <v>1920</v>
      </c>
      <c r="M27" s="142"/>
      <c r="N27" s="32" t="s">
        <v>37</v>
      </c>
      <c r="O27" s="22">
        <v>1920</v>
      </c>
    </row>
    <row r="28" spans="1:15">
      <c r="A28" s="143"/>
      <c r="B28" s="50" t="s">
        <v>85</v>
      </c>
      <c r="C28" s="45">
        <v>1080</v>
      </c>
      <c r="E28" s="143"/>
      <c r="F28" s="50" t="s">
        <v>85</v>
      </c>
      <c r="G28" s="45">
        <v>1080</v>
      </c>
      <c r="I28" s="143"/>
      <c r="J28" s="50" t="s">
        <v>85</v>
      </c>
      <c r="K28" s="45">
        <v>1080</v>
      </c>
      <c r="M28" s="143"/>
      <c r="N28" s="50" t="s">
        <v>85</v>
      </c>
      <c r="O28" s="45">
        <v>1080</v>
      </c>
    </row>
    <row r="29" spans="1:15" ht="17.25" thickBot="1">
      <c r="A29" s="144"/>
      <c r="B29" s="33" t="s">
        <v>87</v>
      </c>
      <c r="C29" s="23">
        <v>2</v>
      </c>
      <c r="E29" s="144"/>
      <c r="F29" s="33" t="s">
        <v>87</v>
      </c>
      <c r="G29" s="23">
        <v>2</v>
      </c>
      <c r="I29" s="144"/>
      <c r="J29" s="33" t="s">
        <v>87</v>
      </c>
      <c r="K29" s="23">
        <v>4</v>
      </c>
      <c r="M29" s="144"/>
      <c r="N29" s="33" t="s">
        <v>87</v>
      </c>
      <c r="O29" s="23">
        <v>4</v>
      </c>
    </row>
    <row r="30" spans="1:15">
      <c r="A30" s="138" t="s">
        <v>43</v>
      </c>
      <c r="B30" s="31" t="s">
        <v>6</v>
      </c>
      <c r="C30" s="24">
        <v>0</v>
      </c>
      <c r="E30" s="138" t="s">
        <v>43</v>
      </c>
      <c r="F30" s="31" t="s">
        <v>6</v>
      </c>
      <c r="G30" s="24">
        <v>0</v>
      </c>
      <c r="I30" s="138" t="s">
        <v>43</v>
      </c>
      <c r="J30" s="31" t="s">
        <v>6</v>
      </c>
      <c r="K30" s="24">
        <v>0</v>
      </c>
      <c r="M30" s="138" t="s">
        <v>43</v>
      </c>
      <c r="N30" s="31" t="s">
        <v>6</v>
      </c>
      <c r="O30" s="24">
        <v>0</v>
      </c>
    </row>
    <row r="31" spans="1:15">
      <c r="A31" s="139"/>
      <c r="B31" s="32" t="s">
        <v>37</v>
      </c>
      <c r="C31" s="22">
        <v>2560</v>
      </c>
      <c r="E31" s="139"/>
      <c r="F31" s="32" t="s">
        <v>37</v>
      </c>
      <c r="G31" s="22">
        <v>2560</v>
      </c>
      <c r="I31" s="139"/>
      <c r="J31" s="32" t="s">
        <v>37</v>
      </c>
      <c r="K31" s="22">
        <v>2560</v>
      </c>
      <c r="M31" s="139"/>
      <c r="N31" s="32" t="s">
        <v>37</v>
      </c>
      <c r="O31" s="22">
        <v>2560</v>
      </c>
    </row>
    <row r="32" spans="1:15">
      <c r="A32" s="139"/>
      <c r="B32" s="50" t="s">
        <v>85</v>
      </c>
      <c r="C32" s="45">
        <v>1440</v>
      </c>
      <c r="E32" s="139"/>
      <c r="F32" s="50" t="s">
        <v>85</v>
      </c>
      <c r="G32" s="45">
        <v>1440</v>
      </c>
      <c r="I32" s="139"/>
      <c r="J32" s="50" t="s">
        <v>85</v>
      </c>
      <c r="K32" s="45">
        <v>1440</v>
      </c>
      <c r="M32" s="139"/>
      <c r="N32" s="50" t="s">
        <v>85</v>
      </c>
      <c r="O32" s="45">
        <v>1440</v>
      </c>
    </row>
    <row r="33" spans="1:15" ht="17.25" thickBot="1">
      <c r="A33" s="140"/>
      <c r="B33" s="33" t="s">
        <v>86</v>
      </c>
      <c r="C33" s="23">
        <v>2</v>
      </c>
      <c r="E33" s="140"/>
      <c r="F33" s="33" t="s">
        <v>88</v>
      </c>
      <c r="G33" s="23">
        <v>2</v>
      </c>
      <c r="I33" s="140"/>
      <c r="J33" s="33" t="s">
        <v>88</v>
      </c>
      <c r="K33" s="23">
        <v>2</v>
      </c>
      <c r="M33" s="140"/>
      <c r="N33" s="33" t="s">
        <v>88</v>
      </c>
      <c r="O33" s="23">
        <v>2</v>
      </c>
    </row>
    <row r="34" spans="1:15">
      <c r="A34" s="141" t="s">
        <v>203</v>
      </c>
      <c r="B34" s="31" t="s">
        <v>6</v>
      </c>
      <c r="C34" s="24">
        <v>2</v>
      </c>
      <c r="E34" s="141" t="s">
        <v>39</v>
      </c>
      <c r="F34" s="31" t="s">
        <v>6</v>
      </c>
      <c r="G34" s="24">
        <v>8</v>
      </c>
      <c r="I34" s="141" t="s">
        <v>39</v>
      </c>
      <c r="J34" s="31" t="s">
        <v>6</v>
      </c>
      <c r="K34" s="24">
        <v>4</v>
      </c>
      <c r="M34" s="141" t="s">
        <v>39</v>
      </c>
      <c r="N34" s="31" t="s">
        <v>6</v>
      </c>
      <c r="O34" s="24">
        <v>4</v>
      </c>
    </row>
    <row r="35" spans="1:15">
      <c r="A35" s="142"/>
      <c r="B35" s="32" t="s">
        <v>37</v>
      </c>
      <c r="C35" s="22">
        <v>960</v>
      </c>
      <c r="E35" s="142"/>
      <c r="F35" s="32" t="s">
        <v>37</v>
      </c>
      <c r="G35" s="45">
        <v>960</v>
      </c>
      <c r="I35" s="142"/>
      <c r="J35" s="32" t="s">
        <v>37</v>
      </c>
      <c r="K35" s="131">
        <v>960</v>
      </c>
      <c r="M35" s="142"/>
      <c r="N35" s="32" t="s">
        <v>37</v>
      </c>
      <c r="O35" s="45">
        <v>960</v>
      </c>
    </row>
    <row r="36" spans="1:15">
      <c r="A36" s="143"/>
      <c r="B36" s="50" t="s">
        <v>85</v>
      </c>
      <c r="C36" s="45">
        <v>576</v>
      </c>
      <c r="E36" s="143"/>
      <c r="F36" s="50" t="s">
        <v>85</v>
      </c>
      <c r="G36" s="45">
        <v>576</v>
      </c>
      <c r="I36" s="143"/>
      <c r="J36" s="50" t="s">
        <v>85</v>
      </c>
      <c r="K36" s="45">
        <v>576</v>
      </c>
      <c r="M36" s="143"/>
      <c r="N36" s="50" t="s">
        <v>85</v>
      </c>
      <c r="O36" s="45">
        <v>576</v>
      </c>
    </row>
    <row r="37" spans="1:15" ht="17.25" thickBot="1">
      <c r="A37" s="143"/>
      <c r="B37" s="50" t="s">
        <v>88</v>
      </c>
      <c r="C37" s="45">
        <v>2</v>
      </c>
      <c r="E37" s="144"/>
      <c r="F37" s="33" t="s">
        <v>88</v>
      </c>
      <c r="G37" s="23">
        <v>2</v>
      </c>
      <c r="I37" s="144"/>
      <c r="J37" s="33" t="s">
        <v>88</v>
      </c>
      <c r="K37" s="23">
        <v>4</v>
      </c>
      <c r="M37" s="144"/>
      <c r="N37" s="33" t="s">
        <v>88</v>
      </c>
      <c r="O37" s="23">
        <v>4</v>
      </c>
    </row>
    <row r="38" spans="1:15">
      <c r="A38" s="138" t="s">
        <v>198</v>
      </c>
      <c r="B38" s="31" t="s">
        <v>199</v>
      </c>
      <c r="C38" s="24">
        <v>0</v>
      </c>
      <c r="E38" s="138" t="s">
        <v>198</v>
      </c>
      <c r="F38" s="31" t="s">
        <v>199</v>
      </c>
      <c r="G38" s="24">
        <v>0</v>
      </c>
      <c r="I38" s="138" t="s">
        <v>198</v>
      </c>
      <c r="J38" s="31" t="s">
        <v>199</v>
      </c>
      <c r="K38" s="24">
        <v>0</v>
      </c>
      <c r="M38" s="138" t="s">
        <v>198</v>
      </c>
      <c r="N38" s="31" t="s">
        <v>199</v>
      </c>
      <c r="O38" s="24">
        <v>0</v>
      </c>
    </row>
    <row r="39" spans="1:15">
      <c r="A39" s="139"/>
      <c r="B39" s="32" t="s">
        <v>200</v>
      </c>
      <c r="C39" s="22">
        <v>720</v>
      </c>
      <c r="E39" s="139"/>
      <c r="F39" s="32" t="s">
        <v>200</v>
      </c>
      <c r="G39" s="22">
        <v>720</v>
      </c>
      <c r="I39" s="139"/>
      <c r="J39" s="32" t="s">
        <v>200</v>
      </c>
      <c r="K39" s="22">
        <v>720</v>
      </c>
      <c r="M39" s="139"/>
      <c r="N39" s="32" t="s">
        <v>200</v>
      </c>
      <c r="O39" s="22">
        <v>720</v>
      </c>
    </row>
    <row r="40" spans="1:15">
      <c r="A40" s="139"/>
      <c r="B40" s="32" t="s">
        <v>201</v>
      </c>
      <c r="C40" s="22">
        <v>576</v>
      </c>
      <c r="E40" s="139"/>
      <c r="F40" s="32" t="s">
        <v>201</v>
      </c>
      <c r="G40" s="22">
        <v>576</v>
      </c>
      <c r="I40" s="139"/>
      <c r="J40" s="32" t="s">
        <v>201</v>
      </c>
      <c r="K40" s="22">
        <v>576</v>
      </c>
      <c r="M40" s="139"/>
      <c r="N40" s="32" t="s">
        <v>201</v>
      </c>
      <c r="O40" s="22">
        <v>576</v>
      </c>
    </row>
    <row r="41" spans="1:15" ht="17.25" thickBot="1">
      <c r="A41" s="140"/>
      <c r="B41" s="33" t="s">
        <v>202</v>
      </c>
      <c r="C41" s="23">
        <v>2</v>
      </c>
      <c r="E41" s="140"/>
      <c r="F41" s="33" t="s">
        <v>202</v>
      </c>
      <c r="G41" s="23">
        <v>2</v>
      </c>
      <c r="I41" s="140"/>
      <c r="J41" s="33" t="s">
        <v>202</v>
      </c>
      <c r="K41" s="23">
        <v>2</v>
      </c>
      <c r="M41" s="140"/>
      <c r="N41" s="33" t="s">
        <v>202</v>
      </c>
      <c r="O41" s="23">
        <v>2</v>
      </c>
    </row>
    <row r="42" spans="1:15">
      <c r="A42" s="147" t="s">
        <v>40</v>
      </c>
      <c r="B42" s="95" t="s">
        <v>213</v>
      </c>
      <c r="C42" s="96">
        <v>1</v>
      </c>
      <c r="E42" s="112"/>
      <c r="F42" s="113"/>
      <c r="G42" s="114"/>
      <c r="I42" s="112"/>
      <c r="J42" s="113"/>
      <c r="K42" s="114"/>
      <c r="M42" s="112"/>
      <c r="N42" s="113"/>
      <c r="O42" s="114"/>
    </row>
    <row r="43" spans="1:15">
      <c r="A43" s="148"/>
      <c r="B43" s="37" t="s">
        <v>37</v>
      </c>
      <c r="C43" s="22">
        <v>720</v>
      </c>
      <c r="E43" s="112"/>
      <c r="F43" s="113"/>
      <c r="G43" s="114"/>
      <c r="I43" s="112"/>
      <c r="J43" s="113"/>
      <c r="K43" s="114"/>
      <c r="M43" s="112"/>
      <c r="N43" s="113"/>
      <c r="O43" s="114"/>
    </row>
    <row r="44" spans="1:15">
      <c r="A44" s="149"/>
      <c r="B44" s="44" t="s">
        <v>85</v>
      </c>
      <c r="C44" s="45">
        <v>576</v>
      </c>
      <c r="E44" s="112"/>
      <c r="F44" s="113"/>
      <c r="G44" s="114"/>
      <c r="I44" s="112"/>
      <c r="J44" s="113"/>
      <c r="K44" s="114"/>
      <c r="M44" s="112"/>
      <c r="N44" s="113"/>
      <c r="O44" s="114"/>
    </row>
    <row r="45" spans="1:15" ht="17.25" thickBot="1">
      <c r="A45" s="149"/>
      <c r="B45" s="44" t="s">
        <v>88</v>
      </c>
      <c r="C45" s="45">
        <v>4</v>
      </c>
      <c r="E45" s="112"/>
      <c r="F45" s="113"/>
      <c r="G45" s="114"/>
      <c r="I45" s="112"/>
      <c r="J45" s="113"/>
      <c r="K45" s="114"/>
      <c r="M45" s="112"/>
      <c r="N45" s="113"/>
      <c r="O45" s="114"/>
    </row>
    <row r="46" spans="1:15">
      <c r="A46" s="170" t="s">
        <v>79</v>
      </c>
      <c r="B46" s="38" t="s">
        <v>80</v>
      </c>
      <c r="C46" s="24">
        <v>4</v>
      </c>
      <c r="D46" s="46"/>
      <c r="E46" s="113"/>
      <c r="F46" s="113"/>
      <c r="G46" s="114"/>
      <c r="H46" s="47"/>
      <c r="I46" s="113"/>
      <c r="J46" s="113"/>
      <c r="K46" s="114"/>
      <c r="L46" s="47"/>
      <c r="M46" s="113"/>
      <c r="N46" s="113"/>
      <c r="O46" s="114"/>
    </row>
    <row r="47" spans="1:15">
      <c r="A47" s="171"/>
      <c r="B47" s="39" t="s">
        <v>81</v>
      </c>
      <c r="C47" s="22">
        <v>16</v>
      </c>
      <c r="D47" s="46"/>
      <c r="E47" s="113"/>
      <c r="F47" s="113"/>
      <c r="G47" s="114"/>
      <c r="H47" s="47"/>
      <c r="I47" s="113"/>
      <c r="J47" s="113"/>
      <c r="K47" s="114"/>
      <c r="L47" s="47"/>
      <c r="M47" s="113"/>
      <c r="N47" s="113"/>
      <c r="O47" s="114"/>
    </row>
    <row r="48" spans="1:15" ht="17.25" thickBot="1">
      <c r="A48" s="172"/>
      <c r="B48" s="40" t="s">
        <v>82</v>
      </c>
      <c r="C48" s="23" t="s">
        <v>83</v>
      </c>
      <c r="D48" s="46"/>
      <c r="E48" s="115"/>
      <c r="F48" s="116"/>
      <c r="G48" s="117"/>
      <c r="H48" s="47"/>
      <c r="I48" s="115"/>
      <c r="J48" s="116"/>
      <c r="K48" s="117"/>
      <c r="L48" s="47"/>
      <c r="M48" s="115"/>
      <c r="N48" s="116"/>
      <c r="O48" s="117"/>
    </row>
    <row r="49" spans="1:15">
      <c r="A49" s="17"/>
      <c r="B49" s="17"/>
      <c r="C49" s="17"/>
      <c r="E49" s="16"/>
      <c r="F49" s="16"/>
      <c r="G49" s="16"/>
      <c r="I49" s="16"/>
      <c r="J49" s="16"/>
      <c r="K49" s="16"/>
      <c r="M49" s="16"/>
      <c r="N49" s="16"/>
      <c r="O49" s="16"/>
    </row>
    <row r="51" spans="1:15">
      <c r="A51" s="145" t="s">
        <v>49</v>
      </c>
      <c r="B51" s="146"/>
      <c r="C51" s="106">
        <f>'Pool Memory'!D33</f>
        <v>233672</v>
      </c>
      <c r="E51" s="145" t="s">
        <v>50</v>
      </c>
      <c r="F51" s="146"/>
      <c r="G51" s="105">
        <f>'Pool Memory'!H33</f>
        <v>500832</v>
      </c>
      <c r="I51" s="145" t="s">
        <v>51</v>
      </c>
      <c r="J51" s="146"/>
      <c r="K51" s="105">
        <f>'Pool Memory'!L33</f>
        <v>291200</v>
      </c>
      <c r="M51" s="145" t="s">
        <v>52</v>
      </c>
      <c r="N51" s="146"/>
      <c r="O51" s="105">
        <f>'Pool Memory'!P33</f>
        <v>291200</v>
      </c>
    </row>
  </sheetData>
  <mergeCells count="40">
    <mergeCell ref="I51:J51"/>
    <mergeCell ref="M51:N51"/>
    <mergeCell ref="A2:B2"/>
    <mergeCell ref="A30:A33"/>
    <mergeCell ref="E30:E33"/>
    <mergeCell ref="I30:I33"/>
    <mergeCell ref="M30:M33"/>
    <mergeCell ref="A46:A48"/>
    <mergeCell ref="E4:G4"/>
    <mergeCell ref="I4:K4"/>
    <mergeCell ref="M4:O4"/>
    <mergeCell ref="I38:I41"/>
    <mergeCell ref="M38:M41"/>
    <mergeCell ref="A22:A25"/>
    <mergeCell ref="M22:M25"/>
    <mergeCell ref="M26:M29"/>
    <mergeCell ref="A1:P1"/>
    <mergeCell ref="E18:E21"/>
    <mergeCell ref="I18:I21"/>
    <mergeCell ref="A4:C4"/>
    <mergeCell ref="M18:M21"/>
    <mergeCell ref="A18:A21"/>
    <mergeCell ref="A5:A11"/>
    <mergeCell ref="A12:A14"/>
    <mergeCell ref="A15:A17"/>
    <mergeCell ref="C2:E2"/>
    <mergeCell ref="M34:M37"/>
    <mergeCell ref="E26:E29"/>
    <mergeCell ref="E34:E37"/>
    <mergeCell ref="I26:I29"/>
    <mergeCell ref="E22:E25"/>
    <mergeCell ref="I22:I25"/>
    <mergeCell ref="I34:I37"/>
    <mergeCell ref="E38:E41"/>
    <mergeCell ref="A26:A29"/>
    <mergeCell ref="A51:B51"/>
    <mergeCell ref="A34:A37"/>
    <mergeCell ref="A42:A45"/>
    <mergeCell ref="A38:A41"/>
    <mergeCell ref="E51:F51"/>
  </mergeCells>
  <phoneticPr fontId="2" type="noConversion"/>
  <conditionalFormatting sqref="I4:O34 I36:O51 I35:J35 L35:O35">
    <cfRule type="expression" dxfId="10" priority="9" stopIfTrue="1">
      <formula>NOT($C$2="316x2")</formula>
    </cfRule>
  </conditionalFormatting>
  <conditionalFormatting sqref="E4:G51">
    <cfRule type="expression" dxfId="9" priority="4" stopIfTrue="1">
      <formula>NOT(OR($C$2="315/316",$C$2="316x2"))</formula>
    </cfRule>
  </conditionalFormatting>
  <conditionalFormatting sqref="K35">
    <cfRule type="expression" dxfId="8" priority="1" stopIfTrue="1">
      <formula>NOT(OR($C$2="315/316",$C$2="316x2"))</formula>
    </cfRule>
  </conditionalFormatting>
  <dataValidations count="8">
    <dataValidation type="list" allowBlank="1" showInputMessage="1" showErrorMessage="1" sqref="C5">
      <formula1>"0, 1"</formula1>
    </dataValidation>
    <dataValidation type="list" allowBlank="1" showInputMessage="1" showErrorMessage="1" sqref="C12">
      <formula1>"0,1"</formula1>
    </dataValidation>
    <dataValidation type="list" allowBlank="1" showInputMessage="1" showErrorMessage="1" sqref="C15">
      <formula1>"0,1"</formula1>
    </dataValidation>
    <dataValidation type="list" allowBlank="1" showInputMessage="1" showErrorMessage="1" sqref="C7">
      <formula1>"0,1,2"</formula1>
    </dataValidation>
    <dataValidation type="list" allowBlank="1" showInputMessage="1" showErrorMessage="1" sqref="C2:E2">
      <formula1>"311/312/313,315/316,316x2,321"</formula1>
    </dataValidation>
    <dataValidation type="list" allowBlank="1" showInputMessage="1" showErrorMessage="1" sqref="C48">
      <formula1>"Mono, Stereo"</formula1>
    </dataValidation>
    <dataValidation type="list" allowBlank="1" showInputMessage="1" showErrorMessage="1" sqref="C6">
      <formula1>"1.5,2"</formula1>
    </dataValidation>
    <dataValidation type="list" allowBlank="1" showInputMessage="1" showErrorMessage="1" sqref="C42">
      <formula1>"0,1"</formula1>
    </dataValidation>
  </dataValidations>
  <pageMargins left="0.75" right="0.75" top="1" bottom="1" header="0.5" footer="0.5"/>
  <pageSetup paperSize="20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4"/>
  <sheetViews>
    <sheetView topLeftCell="A13" zoomScaleNormal="100" workbookViewId="0">
      <selection activeCell="L15" sqref="L15"/>
    </sheetView>
  </sheetViews>
  <sheetFormatPr defaultRowHeight="16.5"/>
  <cols>
    <col min="1" max="1" width="59.375" customWidth="1"/>
    <col min="2" max="2" width="10.375" bestFit="1" customWidth="1"/>
    <col min="4" max="4" width="10.375" bestFit="1" customWidth="1"/>
    <col min="5" max="5" width="1" style="94" customWidth="1"/>
    <col min="9" max="9" width="1.125" customWidth="1"/>
    <col min="13" max="13" width="1" customWidth="1"/>
    <col min="16" max="16" width="9.75" bestFit="1" customWidth="1"/>
  </cols>
  <sheetData>
    <row r="1" spans="1:16" ht="16.149999999999999" customHeight="1">
      <c r="A1" s="177" t="s">
        <v>3</v>
      </c>
      <c r="B1" s="175" t="s">
        <v>185</v>
      </c>
      <c r="C1" s="176"/>
      <c r="D1" s="176"/>
      <c r="E1" s="100"/>
      <c r="F1" s="175" t="s">
        <v>189</v>
      </c>
      <c r="G1" s="176"/>
      <c r="H1" s="176"/>
      <c r="I1" s="100"/>
      <c r="J1" s="175" t="s">
        <v>190</v>
      </c>
      <c r="K1" s="176"/>
      <c r="L1" s="176"/>
      <c r="M1" s="100"/>
      <c r="N1" s="175" t="s">
        <v>191</v>
      </c>
      <c r="O1" s="176"/>
      <c r="P1" s="176"/>
    </row>
    <row r="2" spans="1:16" ht="16.149999999999999" customHeight="1">
      <c r="A2" s="178"/>
      <c r="B2" s="97" t="s">
        <v>186</v>
      </c>
      <c r="C2" s="97" t="s">
        <v>187</v>
      </c>
      <c r="D2" s="97" t="s">
        <v>188</v>
      </c>
      <c r="E2" s="98"/>
      <c r="F2" s="97" t="s">
        <v>186</v>
      </c>
      <c r="G2" s="97" t="s">
        <v>187</v>
      </c>
      <c r="H2" s="97" t="s">
        <v>188</v>
      </c>
      <c r="I2" s="98"/>
      <c r="J2" s="97" t="s">
        <v>186</v>
      </c>
      <c r="K2" s="97" t="s">
        <v>187</v>
      </c>
      <c r="L2" s="97" t="s">
        <v>188</v>
      </c>
      <c r="M2" s="101"/>
      <c r="N2" s="97" t="s">
        <v>186</v>
      </c>
      <c r="O2" s="97" t="s">
        <v>187</v>
      </c>
      <c r="P2" s="97" t="s">
        <v>188</v>
      </c>
    </row>
    <row r="3" spans="1:16">
      <c r="A3" s="91" t="s">
        <v>23</v>
      </c>
      <c r="B3" s="6">
        <f>CEILING((D8+D9+D5)*0.1,4)</f>
        <v>7296</v>
      </c>
      <c r="C3" s="6">
        <v>1</v>
      </c>
      <c r="D3" s="6">
        <f>B3*C3</f>
        <v>7296</v>
      </c>
      <c r="E3" s="7"/>
      <c r="F3" s="6">
        <f>CEILING((H8+H9+H5)*0.1,4)</f>
        <v>23108</v>
      </c>
      <c r="G3" s="6">
        <v>1</v>
      </c>
      <c r="H3" s="6">
        <f>F3*G3</f>
        <v>23108</v>
      </c>
      <c r="I3" s="7"/>
      <c r="J3" s="6">
        <f>CEILING((L8+L9+L5)*0.1,4)</f>
        <v>11556</v>
      </c>
      <c r="K3" s="6">
        <v>1</v>
      </c>
      <c r="L3" s="6">
        <f>J3*K3</f>
        <v>11556</v>
      </c>
      <c r="M3" s="99"/>
      <c r="N3" s="6">
        <f>CEILING((P8+P9+P5)*0.1,4)</f>
        <v>11556</v>
      </c>
      <c r="O3" s="6">
        <v>1</v>
      </c>
      <c r="P3" s="6">
        <f>N3*O3</f>
        <v>11556</v>
      </c>
    </row>
    <row r="4" spans="1:16">
      <c r="A4" s="91" t="s">
        <v>17</v>
      </c>
      <c r="B4" s="6">
        <f>CEILING(Decode!B16+Decode!B33,4)</f>
        <v>8492</v>
      </c>
      <c r="C4" s="6">
        <v>1</v>
      </c>
      <c r="D4" s="6">
        <f>B4*C4</f>
        <v>8492</v>
      </c>
      <c r="E4" s="7"/>
      <c r="F4" s="118">
        <v>0</v>
      </c>
      <c r="G4" s="119">
        <v>0</v>
      </c>
      <c r="H4" s="120">
        <v>0</v>
      </c>
      <c r="I4" s="7"/>
      <c r="J4" s="118">
        <v>0</v>
      </c>
      <c r="K4" s="119">
        <v>0</v>
      </c>
      <c r="L4" s="120">
        <v>0</v>
      </c>
      <c r="M4" s="99"/>
      <c r="N4" s="118">
        <v>0</v>
      </c>
      <c r="O4" s="119">
        <v>0</v>
      </c>
      <c r="P4" s="120">
        <v>0</v>
      </c>
    </row>
    <row r="5" spans="1:16">
      <c r="A5" s="91" t="s">
        <v>18</v>
      </c>
      <c r="B5" s="6">
        <f>IF(Overview!C7=2,MAX(CEILING(Decode!B17+Decode!B34,4),CEILING(Display!C21,4)),CEILING(Decode!B17+Decode!B34,4))</f>
        <v>51008</v>
      </c>
      <c r="C5" s="6">
        <v>1</v>
      </c>
      <c r="D5" s="6">
        <f>B5*C5</f>
        <v>51008</v>
      </c>
      <c r="E5" s="7"/>
      <c r="F5" s="6">
        <f>IF(Overview!G7=2,MAX(CEILING(Decode!F17+Decode!F34,4),CEILING(Display!G21,4)),CEILING(Decode!F17+Decode!F34,4))</f>
        <v>164096</v>
      </c>
      <c r="G5" s="6">
        <v>1</v>
      </c>
      <c r="H5" s="6">
        <f>F5*G5</f>
        <v>164096</v>
      </c>
      <c r="I5" s="7"/>
      <c r="J5" s="6">
        <f>IF(Overview!K7=2,MAX(CEILING(Decode!J17+Decode!J34,4),CEILING(Display!K21,4)),CEILING(Decode!J17+Decode!J34,4))</f>
        <v>82048</v>
      </c>
      <c r="K5" s="6">
        <v>1</v>
      </c>
      <c r="L5" s="6">
        <f>J5*K5</f>
        <v>82048</v>
      </c>
      <c r="M5" s="99"/>
      <c r="N5" s="6">
        <f>IF(Overview!O7=2,MAX(CEILING(Decode!N17+Decode!N34,4),CEILING(Display!O21,4)),CEILING(Decode!N17+Decode!N34,4))</f>
        <v>82048</v>
      </c>
      <c r="O5" s="6">
        <v>1</v>
      </c>
      <c r="P5" s="6">
        <f>N5*O5</f>
        <v>82048</v>
      </c>
    </row>
    <row r="6" spans="1:16">
      <c r="A6" s="91" t="s">
        <v>19</v>
      </c>
      <c r="B6" s="6">
        <f>CEILING(Decode!B18+Decode!B35,4)</f>
        <v>12240</v>
      </c>
      <c r="C6" s="6">
        <v>1</v>
      </c>
      <c r="D6" s="6">
        <f>B6*C6</f>
        <v>12240</v>
      </c>
      <c r="E6" s="7"/>
      <c r="F6" s="6">
        <f>CEILING(Decode!F18+Decode!F35,4)</f>
        <v>32640</v>
      </c>
      <c r="G6" s="6">
        <v>1</v>
      </c>
      <c r="H6" s="6">
        <f>F6*G6</f>
        <v>32640</v>
      </c>
      <c r="I6" s="7"/>
      <c r="J6" s="6">
        <f>CEILING(Decode!J18+Decode!J35,4)</f>
        <v>16320</v>
      </c>
      <c r="K6" s="6">
        <v>1</v>
      </c>
      <c r="L6" s="6">
        <f>J6*K6</f>
        <v>16320</v>
      </c>
      <c r="M6" s="99"/>
      <c r="N6" s="6">
        <f>CEILING(Decode!N18+Decode!N35,4)</f>
        <v>16320</v>
      </c>
      <c r="O6" s="6">
        <v>1</v>
      </c>
      <c r="P6" s="6">
        <f>N6*O6</f>
        <v>16320</v>
      </c>
    </row>
    <row r="7" spans="1:16">
      <c r="A7" s="91" t="s">
        <v>29</v>
      </c>
      <c r="B7" s="6">
        <f>CEILING(MAX(Decode!B15,Decode!B32)*2,4)</f>
        <v>1836</v>
      </c>
      <c r="C7" s="6">
        <v>1</v>
      </c>
      <c r="D7" s="6">
        <f t="shared" ref="D7" si="0">B7*C7</f>
        <v>1836</v>
      </c>
      <c r="E7" s="7"/>
      <c r="F7" s="6">
        <f>CEILING(MAX(Decode!F15,Decode!F32)*2,4)</f>
        <v>1836</v>
      </c>
      <c r="G7" s="6">
        <v>1</v>
      </c>
      <c r="H7" s="6">
        <f t="shared" ref="H7" si="1">F7*G7</f>
        <v>1836</v>
      </c>
      <c r="I7" s="7"/>
      <c r="J7" s="6">
        <f>CEILING(MAX(Decode!J15,Decode!J32)*2,4)</f>
        <v>1836</v>
      </c>
      <c r="K7" s="6">
        <v>1</v>
      </c>
      <c r="L7" s="6">
        <f t="shared" ref="L7" si="2">J7*K7</f>
        <v>1836</v>
      </c>
      <c r="M7" s="99"/>
      <c r="N7" s="6">
        <f>CEILING(MAX(Decode!N15,Decode!N32)*2,4)</f>
        <v>1836</v>
      </c>
      <c r="O7" s="6">
        <v>1</v>
      </c>
      <c r="P7" s="6">
        <f t="shared" ref="P7" si="3">N7*O7</f>
        <v>1836</v>
      </c>
    </row>
    <row r="8" spans="1:16">
      <c r="A8" s="91" t="s">
        <v>15</v>
      </c>
      <c r="B8" s="6">
        <f>CEILING(Encode!B15+Encode!B34+Encode!B53,4)</f>
        <v>15936</v>
      </c>
      <c r="C8" s="6">
        <v>1</v>
      </c>
      <c r="D8" s="6">
        <f t="shared" ref="D8:D30" si="4">B8*C8</f>
        <v>15936</v>
      </c>
      <c r="E8" s="7"/>
      <c r="F8" s="6">
        <f>CEILING(Encode!F15+Encode!F34+Encode!F53,4)</f>
        <v>66976</v>
      </c>
      <c r="G8" s="6">
        <v>1</v>
      </c>
      <c r="H8" s="6">
        <f t="shared" ref="H8:H16" si="5">F8*G8</f>
        <v>66976</v>
      </c>
      <c r="I8" s="7"/>
      <c r="J8" s="6">
        <f>CEILING(Encode!J15+Encode!J34+Encode!J53,4)</f>
        <v>33488</v>
      </c>
      <c r="K8" s="6">
        <v>1</v>
      </c>
      <c r="L8" s="6">
        <f t="shared" ref="L8:L16" si="6">J8*K8</f>
        <v>33488</v>
      </c>
      <c r="M8" s="99"/>
      <c r="N8" s="6">
        <f>CEILING(Encode!N15+Encode!N34+Encode!N53,4)</f>
        <v>33488</v>
      </c>
      <c r="O8" s="6">
        <v>1</v>
      </c>
      <c r="P8" s="6">
        <f t="shared" ref="P8:P16" si="7">N8*O8</f>
        <v>33488</v>
      </c>
    </row>
    <row r="9" spans="1:16">
      <c r="A9" s="91" t="s">
        <v>16</v>
      </c>
      <c r="B9" s="6">
        <f>CEILING(Encode!B16+Encode!B35+Encode!B54+DispEncode!B16,4)</f>
        <v>5992</v>
      </c>
      <c r="C9" s="6">
        <v>1</v>
      </c>
      <c r="D9" s="6">
        <f t="shared" si="4"/>
        <v>5992</v>
      </c>
      <c r="E9" s="7"/>
      <c r="F9" s="128">
        <v>0</v>
      </c>
      <c r="G9" s="129">
        <v>0</v>
      </c>
      <c r="H9" s="130">
        <v>0</v>
      </c>
      <c r="I9" s="7"/>
      <c r="J9" s="128">
        <v>0</v>
      </c>
      <c r="K9" s="122">
        <v>0</v>
      </c>
      <c r="L9" s="130">
        <v>0</v>
      </c>
      <c r="M9" s="99"/>
      <c r="N9" s="128">
        <v>0</v>
      </c>
      <c r="O9" s="129">
        <v>0</v>
      </c>
      <c r="P9" s="130">
        <v>0</v>
      </c>
    </row>
    <row r="10" spans="1:16">
      <c r="A10" s="91" t="s">
        <v>221</v>
      </c>
      <c r="B10" s="6">
        <f>Encode!B17</f>
        <v>3244</v>
      </c>
      <c r="C10" s="6">
        <f>Encode!B18</f>
        <v>6</v>
      </c>
      <c r="D10" s="6">
        <f t="shared" si="4"/>
        <v>19464</v>
      </c>
      <c r="E10" s="7"/>
      <c r="F10" s="6">
        <f>Encode!F17</f>
        <v>3244</v>
      </c>
      <c r="G10" s="6">
        <f>Encode!F18</f>
        <v>24</v>
      </c>
      <c r="H10" s="6">
        <f t="shared" si="5"/>
        <v>77856</v>
      </c>
      <c r="I10" s="7"/>
      <c r="J10" s="6">
        <f>Encode!J17</f>
        <v>3244</v>
      </c>
      <c r="K10" s="6">
        <f>Encode!J18</f>
        <v>12</v>
      </c>
      <c r="L10" s="6">
        <f t="shared" si="6"/>
        <v>38928</v>
      </c>
      <c r="M10" s="99"/>
      <c r="N10" s="6">
        <f>Encode!N17</f>
        <v>3244</v>
      </c>
      <c r="O10" s="6">
        <f>Encode!N18</f>
        <v>12</v>
      </c>
      <c r="P10" s="6">
        <f t="shared" si="7"/>
        <v>38928</v>
      </c>
    </row>
    <row r="11" spans="1:16">
      <c r="A11" s="91" t="s">
        <v>220</v>
      </c>
      <c r="B11" s="6">
        <f>Encode!B19</f>
        <v>2328</v>
      </c>
      <c r="C11" s="6">
        <f>Encode!B20</f>
        <v>2</v>
      </c>
      <c r="D11" s="6">
        <f t="shared" si="4"/>
        <v>4656</v>
      </c>
      <c r="E11" s="7"/>
      <c r="F11" s="6">
        <f>Encode!F19</f>
        <v>3244</v>
      </c>
      <c r="G11" s="6">
        <f>Encode!F20</f>
        <v>8</v>
      </c>
      <c r="H11" s="6">
        <f t="shared" si="5"/>
        <v>25952</v>
      </c>
      <c r="I11" s="7"/>
      <c r="J11" s="6">
        <f>Encode!J19</f>
        <v>3244</v>
      </c>
      <c r="K11" s="6">
        <f>Encode!J20</f>
        <v>4</v>
      </c>
      <c r="L11" s="6">
        <f t="shared" si="6"/>
        <v>12976</v>
      </c>
      <c r="M11" s="99"/>
      <c r="N11" s="6">
        <f>Encode!N19</f>
        <v>3244</v>
      </c>
      <c r="O11" s="6">
        <f>Encode!N20</f>
        <v>4</v>
      </c>
      <c r="P11" s="6">
        <f t="shared" si="7"/>
        <v>12976</v>
      </c>
    </row>
    <row r="12" spans="1:16">
      <c r="A12" s="91" t="s">
        <v>222</v>
      </c>
      <c r="B12" s="6">
        <f>Encode!B36</f>
        <v>0</v>
      </c>
      <c r="C12" s="6">
        <f>Encode!B37</f>
        <v>0</v>
      </c>
      <c r="D12" s="6">
        <f t="shared" si="4"/>
        <v>0</v>
      </c>
      <c r="E12" s="7"/>
      <c r="F12" s="6">
        <f>Encode!F36</f>
        <v>0</v>
      </c>
      <c r="G12" s="6">
        <f>Encode!F37</f>
        <v>0</v>
      </c>
      <c r="H12" s="6">
        <f t="shared" si="5"/>
        <v>0</v>
      </c>
      <c r="I12" s="7"/>
      <c r="J12" s="6">
        <f>Encode!J36</f>
        <v>0</v>
      </c>
      <c r="K12" s="6">
        <f>Encode!J37</f>
        <v>0</v>
      </c>
      <c r="L12" s="6">
        <f t="shared" si="6"/>
        <v>0</v>
      </c>
      <c r="M12" s="99"/>
      <c r="N12" s="6">
        <f>Encode!N36</f>
        <v>0</v>
      </c>
      <c r="O12" s="6">
        <f>Encode!N37</f>
        <v>0</v>
      </c>
      <c r="P12" s="6">
        <f t="shared" si="7"/>
        <v>0</v>
      </c>
    </row>
    <row r="13" spans="1:16">
      <c r="A13" s="91" t="s">
        <v>223</v>
      </c>
      <c r="B13" s="6">
        <f>Encode!B38</f>
        <v>0</v>
      </c>
      <c r="C13" s="6">
        <f>Encode!B39</f>
        <v>0</v>
      </c>
      <c r="D13" s="6">
        <f t="shared" si="4"/>
        <v>0</v>
      </c>
      <c r="E13" s="7"/>
      <c r="F13" s="6">
        <f>Encode!F38</f>
        <v>0</v>
      </c>
      <c r="G13" s="6">
        <f>Encode!F39</f>
        <v>0</v>
      </c>
      <c r="H13" s="6">
        <f t="shared" si="5"/>
        <v>0</v>
      </c>
      <c r="I13" s="7"/>
      <c r="J13" s="6">
        <f>Encode!J38</f>
        <v>0</v>
      </c>
      <c r="K13" s="6">
        <f>Encode!J39</f>
        <v>0</v>
      </c>
      <c r="L13" s="6">
        <f t="shared" si="6"/>
        <v>0</v>
      </c>
      <c r="M13" s="99"/>
      <c r="N13" s="6">
        <f>Encode!N38</f>
        <v>0</v>
      </c>
      <c r="O13" s="6">
        <f>Encode!N39</f>
        <v>0</v>
      </c>
      <c r="P13" s="6">
        <f t="shared" si="7"/>
        <v>0</v>
      </c>
    </row>
    <row r="14" spans="1:16">
      <c r="A14" s="91" t="s">
        <v>224</v>
      </c>
      <c r="B14" s="6">
        <f>MAX(Encode!B55,DispEncode!B17)</f>
        <v>860</v>
      </c>
      <c r="C14" s="6">
        <f>MAX(Encode!B56,DispEncode!B18)</f>
        <v>6</v>
      </c>
      <c r="D14" s="6">
        <f t="shared" si="4"/>
        <v>5160</v>
      </c>
      <c r="E14" s="7"/>
      <c r="F14" s="6">
        <f>Encode!F55</f>
        <v>860</v>
      </c>
      <c r="G14" s="6">
        <f>Encode!F56</f>
        <v>24</v>
      </c>
      <c r="H14" s="6">
        <f t="shared" si="5"/>
        <v>20640</v>
      </c>
      <c r="I14" s="7"/>
      <c r="J14" s="6">
        <f>Encode!J55</f>
        <v>860</v>
      </c>
      <c r="K14" s="6">
        <f>Encode!J56</f>
        <v>12</v>
      </c>
      <c r="L14" s="6">
        <f t="shared" si="6"/>
        <v>10320</v>
      </c>
      <c r="M14" s="99"/>
      <c r="N14" s="6">
        <f>Encode!N55</f>
        <v>860</v>
      </c>
      <c r="O14" s="6">
        <f>Encode!N56</f>
        <v>12</v>
      </c>
      <c r="P14" s="6">
        <f t="shared" si="7"/>
        <v>10320</v>
      </c>
    </row>
    <row r="15" spans="1:16">
      <c r="A15" s="91" t="s">
        <v>225</v>
      </c>
      <c r="B15" s="6">
        <f>Encode!B57</f>
        <v>616</v>
      </c>
      <c r="C15" s="6">
        <f>Encode!B58</f>
        <v>2</v>
      </c>
      <c r="D15" s="6">
        <f t="shared" si="4"/>
        <v>1232</v>
      </c>
      <c r="E15" s="7"/>
      <c r="F15" s="6">
        <f>Encode!F57</f>
        <v>860</v>
      </c>
      <c r="G15" s="6">
        <f>Encode!F58</f>
        <v>8</v>
      </c>
      <c r="H15" s="6">
        <f t="shared" si="5"/>
        <v>6880</v>
      </c>
      <c r="I15" s="7"/>
      <c r="J15" s="6">
        <f>Encode!J57</f>
        <v>860</v>
      </c>
      <c r="K15" s="6">
        <f>Encode!J58</f>
        <v>4</v>
      </c>
      <c r="L15" s="6">
        <f t="shared" si="6"/>
        <v>3440</v>
      </c>
      <c r="M15" s="99"/>
      <c r="N15" s="6">
        <f>Encode!N57</f>
        <v>860</v>
      </c>
      <c r="O15" s="6">
        <f>Encode!N58</f>
        <v>4</v>
      </c>
      <c r="P15" s="6">
        <f t="shared" si="7"/>
        <v>3440</v>
      </c>
    </row>
    <row r="16" spans="1:16">
      <c r="A16" s="91" t="s">
        <v>25</v>
      </c>
      <c r="B16" s="6">
        <f>CEILING(DispEncode!B15+Encode!B68,4)</f>
        <v>1824</v>
      </c>
      <c r="C16" s="6">
        <v>1</v>
      </c>
      <c r="D16" s="6">
        <f>B16*C16</f>
        <v>1824</v>
      </c>
      <c r="E16" s="7"/>
      <c r="F16" s="102">
        <f>CEILING(Encode!F68,4)</f>
        <v>0</v>
      </c>
      <c r="G16" s="102">
        <v>1</v>
      </c>
      <c r="H16" s="102">
        <f t="shared" si="5"/>
        <v>0</v>
      </c>
      <c r="I16" s="7"/>
      <c r="J16" s="6">
        <f>CEILING(Encode!J68,4)</f>
        <v>0</v>
      </c>
      <c r="K16" s="6">
        <v>1</v>
      </c>
      <c r="L16" s="6">
        <f t="shared" si="6"/>
        <v>0</v>
      </c>
      <c r="M16" s="99"/>
      <c r="N16" s="6">
        <f>CEILING(Encode!N68,4)</f>
        <v>0</v>
      </c>
      <c r="O16" s="6">
        <v>1</v>
      </c>
      <c r="P16" s="6">
        <f t="shared" si="7"/>
        <v>0</v>
      </c>
    </row>
    <row r="17" spans="1:16">
      <c r="A17" s="91" t="s">
        <v>12</v>
      </c>
      <c r="B17" s="6">
        <f>IF(Overview!C7=2,0,CEILING(Display!C21,4))</f>
        <v>0</v>
      </c>
      <c r="C17" s="6">
        <v>1</v>
      </c>
      <c r="D17" s="6">
        <f>B17*C17</f>
        <v>0</v>
      </c>
      <c r="E17" s="7"/>
      <c r="F17" s="6">
        <f>B17</f>
        <v>0</v>
      </c>
      <c r="G17" s="6">
        <v>1</v>
      </c>
      <c r="H17" s="6">
        <f>F17*G17</f>
        <v>0</v>
      </c>
      <c r="I17" s="7"/>
      <c r="J17" s="6">
        <f>B17</f>
        <v>0</v>
      </c>
      <c r="K17" s="6">
        <v>1</v>
      </c>
      <c r="L17" s="6">
        <f>J17*K17</f>
        <v>0</v>
      </c>
      <c r="M17" s="99"/>
      <c r="N17" s="6">
        <f>B17</f>
        <v>0</v>
      </c>
      <c r="O17" s="6">
        <v>1</v>
      </c>
      <c r="P17" s="6">
        <f>N17*O17</f>
        <v>0</v>
      </c>
    </row>
    <row r="18" spans="1:16">
      <c r="A18" s="91" t="s">
        <v>9</v>
      </c>
      <c r="B18" s="6">
        <f>CEILING(Display!C22,4)</f>
        <v>9180</v>
      </c>
      <c r="C18" s="6">
        <v>1</v>
      </c>
      <c r="D18" s="6">
        <f t="shared" si="4"/>
        <v>9180</v>
      </c>
      <c r="E18" s="7"/>
      <c r="F18" s="121">
        <v>0</v>
      </c>
      <c r="G18" s="122">
        <v>0</v>
      </c>
      <c r="H18" s="123">
        <v>0</v>
      </c>
      <c r="I18" s="7"/>
      <c r="J18" s="121">
        <v>0</v>
      </c>
      <c r="K18" s="122">
        <v>0</v>
      </c>
      <c r="L18" s="123">
        <v>0</v>
      </c>
      <c r="M18" s="99"/>
      <c r="N18" s="121">
        <v>0</v>
      </c>
      <c r="O18" s="122">
        <v>0</v>
      </c>
      <c r="P18" s="123">
        <v>0</v>
      </c>
    </row>
    <row r="19" spans="1:16">
      <c r="A19" s="91" t="s">
        <v>204</v>
      </c>
      <c r="B19" s="6">
        <f>CEILING(Display!C23+Display!C24+Display!C25,4)</f>
        <v>4092</v>
      </c>
      <c r="C19" s="6">
        <v>1</v>
      </c>
      <c r="D19" s="6">
        <f t="shared" si="4"/>
        <v>4092</v>
      </c>
      <c r="E19" s="7"/>
      <c r="F19" s="121">
        <v>0</v>
      </c>
      <c r="G19" s="122">
        <v>0</v>
      </c>
      <c r="H19" s="123">
        <v>0</v>
      </c>
      <c r="I19" s="7"/>
      <c r="J19" s="121">
        <v>0</v>
      </c>
      <c r="K19" s="122">
        <v>0</v>
      </c>
      <c r="L19" s="123">
        <v>0</v>
      </c>
      <c r="M19" s="99"/>
      <c r="N19" s="121">
        <v>0</v>
      </c>
      <c r="O19" s="122">
        <v>0</v>
      </c>
      <c r="P19" s="123">
        <v>0</v>
      </c>
    </row>
    <row r="20" spans="1:16">
      <c r="A20" s="91" t="s">
        <v>13</v>
      </c>
      <c r="B20" s="6">
        <f>CEILING(Display!C45,4)</f>
        <v>1904</v>
      </c>
      <c r="C20" s="6">
        <v>1</v>
      </c>
      <c r="D20" s="6">
        <f t="shared" si="4"/>
        <v>1904</v>
      </c>
      <c r="E20" s="7"/>
      <c r="F20" s="6">
        <f>B20</f>
        <v>1904</v>
      </c>
      <c r="G20" s="6">
        <v>1</v>
      </c>
      <c r="H20" s="6">
        <f t="shared" ref="H20" si="8">F20*G20</f>
        <v>1904</v>
      </c>
      <c r="I20" s="7"/>
      <c r="J20" s="6">
        <f>B20</f>
        <v>1904</v>
      </c>
      <c r="K20" s="6">
        <v>1</v>
      </c>
      <c r="L20" s="6">
        <f t="shared" ref="L20" si="9">J20*K20</f>
        <v>1904</v>
      </c>
      <c r="M20" s="99"/>
      <c r="N20" s="6">
        <f>B20</f>
        <v>1904</v>
      </c>
      <c r="O20" s="6">
        <v>1</v>
      </c>
      <c r="P20" s="6">
        <f t="shared" ref="P20" si="10">N20*O20</f>
        <v>1904</v>
      </c>
    </row>
    <row r="21" spans="1:16">
      <c r="A21" s="91" t="s">
        <v>10</v>
      </c>
      <c r="B21" s="6">
        <f>CEILING(Display!C46,4)</f>
        <v>2432</v>
      </c>
      <c r="C21" s="6">
        <v>1</v>
      </c>
      <c r="D21" s="6">
        <f t="shared" si="4"/>
        <v>2432</v>
      </c>
      <c r="E21" s="7"/>
      <c r="F21" s="121">
        <v>0</v>
      </c>
      <c r="G21" s="122">
        <v>0</v>
      </c>
      <c r="H21" s="123">
        <v>0</v>
      </c>
      <c r="I21" s="7"/>
      <c r="J21" s="121">
        <v>0</v>
      </c>
      <c r="K21" s="122">
        <v>0</v>
      </c>
      <c r="L21" s="123">
        <v>0</v>
      </c>
      <c r="M21" s="99"/>
      <c r="N21" s="121">
        <v>0</v>
      </c>
      <c r="O21" s="122">
        <v>0</v>
      </c>
      <c r="P21" s="123">
        <v>0</v>
      </c>
    </row>
    <row r="22" spans="1:16">
      <c r="A22" s="91" t="s">
        <v>205</v>
      </c>
      <c r="B22" s="6">
        <f>CEILING(Display!C47+Display!C48+Display!C49,4)</f>
        <v>1016</v>
      </c>
      <c r="C22" s="6">
        <v>1</v>
      </c>
      <c r="D22" s="6">
        <f t="shared" si="4"/>
        <v>1016</v>
      </c>
      <c r="E22" s="7"/>
      <c r="F22" s="121">
        <v>0</v>
      </c>
      <c r="G22" s="122">
        <v>0</v>
      </c>
      <c r="H22" s="123">
        <v>0</v>
      </c>
      <c r="I22" s="7"/>
      <c r="J22" s="121">
        <v>0</v>
      </c>
      <c r="K22" s="122">
        <v>0</v>
      </c>
      <c r="L22" s="123">
        <v>0</v>
      </c>
      <c r="M22" s="99"/>
      <c r="N22" s="121">
        <v>0</v>
      </c>
      <c r="O22" s="122">
        <v>0</v>
      </c>
      <c r="P22" s="123">
        <v>0</v>
      </c>
    </row>
    <row r="23" spans="1:16">
      <c r="A23" s="91" t="s">
        <v>14</v>
      </c>
      <c r="B23" s="6">
        <f>CEILING(Display!C69,4)</f>
        <v>0</v>
      </c>
      <c r="C23" s="6">
        <v>1</v>
      </c>
      <c r="D23" s="6">
        <f t="shared" si="4"/>
        <v>0</v>
      </c>
      <c r="E23" s="7"/>
      <c r="F23" s="6">
        <f>B23</f>
        <v>0</v>
      </c>
      <c r="G23" s="6">
        <v>1</v>
      </c>
      <c r="H23" s="6">
        <f t="shared" ref="H23" si="11">F23*G23</f>
        <v>0</v>
      </c>
      <c r="I23" s="7"/>
      <c r="J23" s="6">
        <f>B23</f>
        <v>0</v>
      </c>
      <c r="K23" s="6">
        <v>1</v>
      </c>
      <c r="L23" s="6">
        <f t="shared" ref="L23" si="12">J23*K23</f>
        <v>0</v>
      </c>
      <c r="M23" s="99"/>
      <c r="N23" s="6">
        <f>B23</f>
        <v>0</v>
      </c>
      <c r="O23" s="6">
        <v>1</v>
      </c>
      <c r="P23" s="6">
        <f t="shared" ref="P23" si="13">N23*O23</f>
        <v>0</v>
      </c>
    </row>
    <row r="24" spans="1:16">
      <c r="A24" s="91" t="s">
        <v>11</v>
      </c>
      <c r="B24" s="6">
        <f>CEILING(Display!C70,4)</f>
        <v>0</v>
      </c>
      <c r="C24" s="6">
        <v>1</v>
      </c>
      <c r="D24" s="6">
        <f t="shared" si="4"/>
        <v>0</v>
      </c>
      <c r="E24" s="7"/>
      <c r="F24" s="121">
        <v>0</v>
      </c>
      <c r="G24" s="122">
        <v>0</v>
      </c>
      <c r="H24" s="123">
        <v>0</v>
      </c>
      <c r="I24" s="7"/>
      <c r="J24" s="121">
        <v>0</v>
      </c>
      <c r="K24" s="122">
        <v>0</v>
      </c>
      <c r="L24" s="123">
        <v>0</v>
      </c>
      <c r="M24" s="99"/>
      <c r="N24" s="121">
        <v>0</v>
      </c>
      <c r="O24" s="122">
        <v>0</v>
      </c>
      <c r="P24" s="123">
        <v>0</v>
      </c>
    </row>
    <row r="25" spans="1:16">
      <c r="A25" s="91" t="s">
        <v>206</v>
      </c>
      <c r="B25" s="6">
        <f>CEILING(Display!C71+Display!C72+Display!C73,4)</f>
        <v>0</v>
      </c>
      <c r="C25" s="6">
        <v>1</v>
      </c>
      <c r="D25" s="6">
        <f t="shared" si="4"/>
        <v>0</v>
      </c>
      <c r="E25" s="7"/>
      <c r="F25" s="121">
        <v>0</v>
      </c>
      <c r="G25" s="122">
        <v>0</v>
      </c>
      <c r="H25" s="123">
        <v>0</v>
      </c>
      <c r="I25" s="7"/>
      <c r="J25" s="121">
        <v>0</v>
      </c>
      <c r="K25" s="122">
        <v>0</v>
      </c>
      <c r="L25" s="123">
        <v>0</v>
      </c>
      <c r="M25" s="99"/>
      <c r="N25" s="121">
        <v>0</v>
      </c>
      <c r="O25" s="122">
        <v>0</v>
      </c>
      <c r="P25" s="123">
        <v>0</v>
      </c>
    </row>
    <row r="26" spans="1:16">
      <c r="A26" s="91" t="s">
        <v>20</v>
      </c>
      <c r="B26" s="6">
        <f>CEILING(Audio!B12,4)</f>
        <v>800</v>
      </c>
      <c r="C26" s="6">
        <v>1</v>
      </c>
      <c r="D26" s="6">
        <f t="shared" si="4"/>
        <v>800</v>
      </c>
      <c r="E26" s="7"/>
      <c r="F26" s="121">
        <v>0</v>
      </c>
      <c r="G26" s="122">
        <v>0</v>
      </c>
      <c r="H26" s="123">
        <v>0</v>
      </c>
      <c r="I26" s="7"/>
      <c r="J26" s="121">
        <v>0</v>
      </c>
      <c r="K26" s="122">
        <v>0</v>
      </c>
      <c r="L26" s="123">
        <v>0</v>
      </c>
      <c r="M26" s="99"/>
      <c r="N26" s="121">
        <v>0</v>
      </c>
      <c r="O26" s="122">
        <v>0</v>
      </c>
      <c r="P26" s="123">
        <v>0</v>
      </c>
    </row>
    <row r="27" spans="1:16">
      <c r="A27" s="91" t="s">
        <v>21</v>
      </c>
      <c r="B27" s="6">
        <f>CEILING(Audio!B22,4)</f>
        <v>432</v>
      </c>
      <c r="C27" s="6">
        <v>1</v>
      </c>
      <c r="D27" s="6">
        <f t="shared" si="4"/>
        <v>432</v>
      </c>
      <c r="E27" s="7"/>
      <c r="F27" s="124">
        <v>0</v>
      </c>
      <c r="G27" s="125">
        <v>0</v>
      </c>
      <c r="H27" s="126">
        <v>0</v>
      </c>
      <c r="I27" s="7"/>
      <c r="J27" s="124">
        <v>0</v>
      </c>
      <c r="K27" s="125">
        <v>0</v>
      </c>
      <c r="L27" s="126">
        <v>0</v>
      </c>
      <c r="M27" s="99"/>
      <c r="N27" s="124">
        <v>0</v>
      </c>
      <c r="O27" s="125">
        <v>0</v>
      </c>
      <c r="P27" s="126">
        <v>0</v>
      </c>
    </row>
    <row r="28" spans="1:16">
      <c r="A28" s="91" t="s">
        <v>30</v>
      </c>
      <c r="B28" s="6">
        <f>CEILING(MotionDetection!B9,4)</f>
        <v>288</v>
      </c>
      <c r="C28" s="6">
        <f>MotionDetection!B10</f>
        <v>2</v>
      </c>
      <c r="D28" s="6">
        <f t="shared" si="4"/>
        <v>576</v>
      </c>
      <c r="E28" s="7"/>
      <c r="F28" s="6">
        <f>MotionDetection!F9</f>
        <v>288</v>
      </c>
      <c r="G28" s="6">
        <f>MotionDetection!F10</f>
        <v>0</v>
      </c>
      <c r="H28" s="103">
        <f t="shared" ref="H28:H32" si="14">F28*G28</f>
        <v>0</v>
      </c>
      <c r="I28" s="7"/>
      <c r="J28" s="6">
        <f>MotionDetection!J9</f>
        <v>288</v>
      </c>
      <c r="K28" s="6">
        <f>MotionDetection!J10</f>
        <v>0</v>
      </c>
      <c r="L28" s="103">
        <f t="shared" ref="L28:L32" si="15">J28*K28</f>
        <v>0</v>
      </c>
      <c r="M28" s="99"/>
      <c r="N28" s="6">
        <f>MotionDetection!N9</f>
        <v>288</v>
      </c>
      <c r="O28" s="6">
        <f>MotionDetection!N10</f>
        <v>0</v>
      </c>
      <c r="P28" s="103">
        <f t="shared" ref="P28:P32" si="16">N28*O28</f>
        <v>0</v>
      </c>
    </row>
    <row r="29" spans="1:16">
      <c r="A29" s="91" t="s">
        <v>26</v>
      </c>
      <c r="B29" s="6">
        <v>140</v>
      </c>
      <c r="C29" s="6">
        <f>Encode!B4+Encode!B23</f>
        <v>2</v>
      </c>
      <c r="D29" s="6">
        <f t="shared" si="4"/>
        <v>280</v>
      </c>
      <c r="E29" s="7"/>
      <c r="F29" s="6">
        <v>140</v>
      </c>
      <c r="G29" s="6">
        <f>Encode!F4+Encode!F23</f>
        <v>8</v>
      </c>
      <c r="H29" s="6">
        <f t="shared" si="14"/>
        <v>1120</v>
      </c>
      <c r="I29" s="7"/>
      <c r="J29" s="6">
        <v>140</v>
      </c>
      <c r="K29" s="6">
        <f>Encode!J4+Encode!J23</f>
        <v>4</v>
      </c>
      <c r="L29" s="6">
        <f t="shared" si="15"/>
        <v>560</v>
      </c>
      <c r="M29" s="99"/>
      <c r="N29" s="6">
        <v>140</v>
      </c>
      <c r="O29" s="6">
        <f>Encode!N4+Encode!N23</f>
        <v>4</v>
      </c>
      <c r="P29" s="6">
        <f t="shared" si="16"/>
        <v>560</v>
      </c>
    </row>
    <row r="30" spans="1:16">
      <c r="A30" s="91" t="s">
        <v>24</v>
      </c>
      <c r="B30" s="6">
        <v>40960</v>
      </c>
      <c r="C30" s="6">
        <v>1</v>
      </c>
      <c r="D30" s="6">
        <f t="shared" si="4"/>
        <v>40960</v>
      </c>
      <c r="E30" s="7"/>
      <c r="F30" s="6">
        <v>40960</v>
      </c>
      <c r="G30" s="6">
        <v>1</v>
      </c>
      <c r="H30" s="6">
        <f t="shared" si="14"/>
        <v>40960</v>
      </c>
      <c r="I30" s="7"/>
      <c r="J30" s="6">
        <v>40960</v>
      </c>
      <c r="K30" s="6">
        <v>1</v>
      </c>
      <c r="L30" s="6">
        <f t="shared" si="15"/>
        <v>40960</v>
      </c>
      <c r="M30" s="99"/>
      <c r="N30" s="6">
        <v>40960</v>
      </c>
      <c r="O30" s="6">
        <v>1</v>
      </c>
      <c r="P30" s="6">
        <f t="shared" si="16"/>
        <v>40960</v>
      </c>
    </row>
    <row r="31" spans="1:16">
      <c r="A31" s="91" t="s">
        <v>22</v>
      </c>
      <c r="B31" s="136">
        <v>4096</v>
      </c>
      <c r="C31" s="136">
        <v>1</v>
      </c>
      <c r="D31" s="136">
        <f t="shared" ref="D31" si="17">B31*C31</f>
        <v>4096</v>
      </c>
      <c r="E31" s="7"/>
      <c r="F31" s="103">
        <v>4096</v>
      </c>
      <c r="G31" s="103">
        <v>1</v>
      </c>
      <c r="H31" s="103">
        <f t="shared" ref="H31" si="18">F31*G31</f>
        <v>4096</v>
      </c>
      <c r="I31" s="7"/>
      <c r="J31" s="103">
        <v>4096</v>
      </c>
      <c r="K31" s="103">
        <v>1</v>
      </c>
      <c r="L31" s="103">
        <f t="shared" ref="L31" si="19">J31*K31</f>
        <v>4096</v>
      </c>
      <c r="M31" s="99"/>
      <c r="N31" s="103">
        <v>4096</v>
      </c>
      <c r="O31" s="103">
        <v>1</v>
      </c>
      <c r="P31" s="103">
        <f t="shared" ref="P31" si="20">N31*O31</f>
        <v>4096</v>
      </c>
    </row>
    <row r="32" spans="1:16" ht="17.25" thickBot="1">
      <c r="A32" s="91" t="s">
        <v>192</v>
      </c>
      <c r="B32" s="136">
        <v>32768</v>
      </c>
      <c r="C32" s="136">
        <v>1</v>
      </c>
      <c r="D32" s="137">
        <f>B32*C32</f>
        <v>32768</v>
      </c>
      <c r="E32" s="7"/>
      <c r="F32" s="6">
        <v>32768</v>
      </c>
      <c r="G32" s="6">
        <v>1</v>
      </c>
      <c r="H32" s="102">
        <f t="shared" si="14"/>
        <v>32768</v>
      </c>
      <c r="I32" s="7"/>
      <c r="J32" s="6">
        <v>32768</v>
      </c>
      <c r="K32" s="6">
        <v>1</v>
      </c>
      <c r="L32" s="102">
        <f t="shared" si="15"/>
        <v>32768</v>
      </c>
      <c r="M32" s="99"/>
      <c r="N32" s="6">
        <v>32768</v>
      </c>
      <c r="O32" s="6">
        <v>1</v>
      </c>
      <c r="P32" s="102">
        <f t="shared" si="16"/>
        <v>32768</v>
      </c>
    </row>
    <row r="33" spans="1:16" ht="17.25" thickBot="1">
      <c r="A33" s="92" t="s">
        <v>209</v>
      </c>
      <c r="B33" s="70"/>
      <c r="C33" s="104"/>
      <c r="D33" s="110">
        <f>SUM(D3:D32)</f>
        <v>233672</v>
      </c>
      <c r="E33" s="7"/>
      <c r="F33" s="70"/>
      <c r="G33" s="111"/>
      <c r="H33" s="110">
        <f>SUM(H3:H32)</f>
        <v>500832</v>
      </c>
      <c r="I33" s="7"/>
      <c r="J33" s="104"/>
      <c r="K33" s="111"/>
      <c r="L33" s="110">
        <f>SUM(L3:L32)</f>
        <v>291200</v>
      </c>
      <c r="M33" s="99"/>
      <c r="N33" s="104"/>
      <c r="O33" s="104"/>
      <c r="P33" s="110">
        <f>SUM(P3:P32)</f>
        <v>291200</v>
      </c>
    </row>
    <row r="34" spans="1:16">
      <c r="B34" s="94"/>
      <c r="C34" s="94"/>
      <c r="F34" s="94"/>
      <c r="G34" s="94"/>
      <c r="K34" s="94"/>
      <c r="O34" s="94"/>
    </row>
  </sheetData>
  <mergeCells count="5">
    <mergeCell ref="B1:D1"/>
    <mergeCell ref="F1:H1"/>
    <mergeCell ref="J1:L1"/>
    <mergeCell ref="N1:P1"/>
    <mergeCell ref="A1:A2"/>
  </mergeCells>
  <phoneticPr fontId="2" type="noConversion"/>
  <pageMargins left="0.7" right="0.7" top="0.75" bottom="0.75" header="0.3" footer="0.3"/>
  <pageSetup paperSize="148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stopIfTrue="1" id="{A85B7935-1583-49BA-B37F-DC450D86E7BE}">
            <xm:f>NOT(OR(Overview!$C$2="315/316",Overview!$C$2="316x2"))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F1:P33</xm:sqref>
        </x14:conditionalFormatting>
        <x14:conditionalFormatting xmlns:xm="http://schemas.microsoft.com/office/excel/2006/main">
          <x14:cfRule type="expression" priority="11" stopIfTrue="1" id="{470DD6C0-0B51-40D9-9862-36A69D1D73A4}">
            <xm:f>NOT(Overview!$C$2="316x2")</xm:f>
            <x14:dxf>
              <font>
                <color theme="0"/>
              </font>
              <fill>
                <patternFill patternType="none">
                  <fgColor indexed="64"/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J1:P33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73"/>
  <sheetViews>
    <sheetView topLeftCell="A53" workbookViewId="0">
      <selection activeCell="A53" sqref="A53:A58"/>
    </sheetView>
  </sheetViews>
  <sheetFormatPr defaultRowHeight="16.5"/>
  <cols>
    <col min="1" max="1" width="26.375" customWidth="1"/>
    <col min="2" max="2" width="21.625" bestFit="1" customWidth="1"/>
    <col min="3" max="3" width="9.5" bestFit="1" customWidth="1"/>
    <col min="4" max="4" width="9.25" customWidth="1"/>
    <col min="5" max="5" width="1.75" customWidth="1"/>
    <col min="6" max="6" width="26.875" bestFit="1" customWidth="1"/>
    <col min="7" max="7" width="11.375" customWidth="1"/>
    <col min="8" max="8" width="14.125" customWidth="1"/>
  </cols>
  <sheetData>
    <row r="1" spans="1:8">
      <c r="A1" s="179" t="s">
        <v>77</v>
      </c>
      <c r="B1" s="180"/>
      <c r="C1" s="181"/>
      <c r="D1" s="181"/>
    </row>
    <row r="2" spans="1:8" ht="6.6" customHeight="1" thickBot="1"/>
    <row r="3" spans="1:8" ht="16.899999999999999" customHeight="1" thickBot="1">
      <c r="A3" s="184" t="s">
        <v>126</v>
      </c>
      <c r="B3" s="185"/>
      <c r="C3" s="71" t="s">
        <v>1</v>
      </c>
      <c r="D3" s="71" t="s">
        <v>129</v>
      </c>
    </row>
    <row r="4" spans="1:8" ht="16.899999999999999" customHeight="1" thickBot="1">
      <c r="A4" s="190" t="s">
        <v>210</v>
      </c>
      <c r="B4" s="191"/>
      <c r="C4" s="72">
        <f>Overview!C5</f>
        <v>1</v>
      </c>
      <c r="D4" s="72"/>
      <c r="F4" s="82" t="s">
        <v>142</v>
      </c>
      <c r="G4" s="79" t="s">
        <v>1</v>
      </c>
      <c r="H4" s="79" t="s">
        <v>78</v>
      </c>
    </row>
    <row r="5" spans="1:8">
      <c r="A5" s="186" t="s">
        <v>137</v>
      </c>
      <c r="B5" s="64" t="s">
        <v>120</v>
      </c>
      <c r="C5" s="67">
        <f>IF(Overview!C7=0,0,1)</f>
        <v>1</v>
      </c>
      <c r="D5" s="73"/>
      <c r="F5" s="54" t="s">
        <v>107</v>
      </c>
      <c r="G5" s="6">
        <v>1</v>
      </c>
      <c r="H5" s="5"/>
    </row>
    <row r="6" spans="1:8">
      <c r="A6" s="187"/>
      <c r="B6" s="54" t="s">
        <v>127</v>
      </c>
      <c r="C6" s="68">
        <f>C11</f>
        <v>1920</v>
      </c>
      <c r="D6" s="74"/>
      <c r="F6" s="54" t="s">
        <v>73</v>
      </c>
      <c r="G6" s="6">
        <v>960</v>
      </c>
      <c r="H6" s="5"/>
    </row>
    <row r="7" spans="1:8">
      <c r="A7" s="187"/>
      <c r="B7" s="54" t="s">
        <v>128</v>
      </c>
      <c r="C7" s="68">
        <f>IF(G5=1,CEILING(C12,G7),C12)</f>
        <v>1152</v>
      </c>
      <c r="D7" s="74"/>
      <c r="F7" s="54" t="s">
        <v>74</v>
      </c>
      <c r="G7" s="6">
        <v>576</v>
      </c>
      <c r="H7" s="5"/>
    </row>
    <row r="8" spans="1:8">
      <c r="A8" s="187"/>
      <c r="B8" s="54" t="s">
        <v>121</v>
      </c>
      <c r="C8" s="68">
        <v>4</v>
      </c>
      <c r="D8" s="74"/>
      <c r="F8" s="54" t="s">
        <v>90</v>
      </c>
      <c r="G8" s="6">
        <v>2</v>
      </c>
      <c r="H8" s="5"/>
    </row>
    <row r="9" spans="1:8">
      <c r="A9" s="188"/>
      <c r="B9" s="66" t="s">
        <v>133</v>
      </c>
      <c r="C9" s="70">
        <v>1.5</v>
      </c>
      <c r="D9" s="77"/>
      <c r="F9" s="54" t="s">
        <v>91</v>
      </c>
      <c r="G9" s="6">
        <v>2</v>
      </c>
      <c r="H9" s="6"/>
    </row>
    <row r="10" spans="1:8" ht="17.25" thickBot="1">
      <c r="A10" s="189"/>
      <c r="B10" s="65" t="s">
        <v>0</v>
      </c>
      <c r="C10" s="69">
        <v>0.75</v>
      </c>
      <c r="D10" s="75"/>
      <c r="F10" s="54" t="s">
        <v>93</v>
      </c>
      <c r="G10" s="6">
        <v>2</v>
      </c>
      <c r="H10" s="5"/>
    </row>
    <row r="11" spans="1:8">
      <c r="A11" s="186" t="s">
        <v>138</v>
      </c>
      <c r="B11" s="64" t="s">
        <v>117</v>
      </c>
      <c r="C11" s="67">
        <f>CEILING(Overview!C8,16)</f>
        <v>1920</v>
      </c>
      <c r="D11" s="73"/>
      <c r="F11" s="54" t="s">
        <v>94</v>
      </c>
      <c r="G11" s="6">
        <v>1.5</v>
      </c>
      <c r="H11" s="6"/>
    </row>
    <row r="12" spans="1:8">
      <c r="A12" s="187"/>
      <c r="B12" s="54" t="s">
        <v>118</v>
      </c>
      <c r="C12" s="68">
        <f>CEILING(Overview!C9,16)</f>
        <v>1088</v>
      </c>
      <c r="D12" s="74"/>
      <c r="F12" s="54" t="s">
        <v>95</v>
      </c>
      <c r="G12" s="6">
        <f>IF(Overview!C2="321",0.75,1)</f>
        <v>0.75</v>
      </c>
      <c r="H12" s="5"/>
    </row>
    <row r="13" spans="1:8">
      <c r="A13" s="188"/>
      <c r="B13" s="66" t="s">
        <v>134</v>
      </c>
      <c r="C13" s="70">
        <v>3</v>
      </c>
      <c r="D13" s="77"/>
      <c r="F13" s="81" t="s">
        <v>136</v>
      </c>
      <c r="G13" s="9">
        <f>CEILING((C6*C7*G9*G8+C6*C7*G11*G10*G12)/1024,4)*G5</f>
        <v>13500</v>
      </c>
      <c r="H13" s="8"/>
    </row>
    <row r="14" spans="1:8" ht="17.25" thickBot="1">
      <c r="A14" s="189"/>
      <c r="B14" s="65" t="s">
        <v>119</v>
      </c>
      <c r="C14" s="69">
        <f>Overview!C6</f>
        <v>1.5</v>
      </c>
      <c r="D14" s="75"/>
    </row>
    <row r="15" spans="1:8">
      <c r="A15" s="186" t="s">
        <v>139</v>
      </c>
      <c r="B15" s="64" t="s">
        <v>117</v>
      </c>
      <c r="C15" s="67">
        <f>CEILING(Overview!C10,16)</f>
        <v>1024</v>
      </c>
      <c r="D15" s="73"/>
    </row>
    <row r="16" spans="1:8">
      <c r="A16" s="187"/>
      <c r="B16" s="54" t="s">
        <v>118</v>
      </c>
      <c r="C16" s="68">
        <f>CEILING(Overview!C11,16)</f>
        <v>768</v>
      </c>
      <c r="D16" s="74"/>
    </row>
    <row r="17" spans="1:8">
      <c r="A17" s="187"/>
      <c r="B17" s="54" t="s">
        <v>125</v>
      </c>
      <c r="C17" s="68">
        <v>2</v>
      </c>
      <c r="D17" s="74"/>
    </row>
    <row r="18" spans="1:8" ht="17.25" thickBot="1">
      <c r="A18" s="189"/>
      <c r="B18" s="65" t="s">
        <v>122</v>
      </c>
      <c r="C18" s="69">
        <v>0.5</v>
      </c>
      <c r="D18" s="75"/>
    </row>
    <row r="19" spans="1:8">
      <c r="A19" s="182" t="s">
        <v>123</v>
      </c>
      <c r="B19" s="64" t="s">
        <v>124</v>
      </c>
      <c r="C19" s="67">
        <v>1</v>
      </c>
      <c r="D19" s="73"/>
    </row>
    <row r="20" spans="1:8">
      <c r="A20" s="183"/>
      <c r="B20" s="66" t="s">
        <v>92</v>
      </c>
      <c r="C20" s="76">
        <v>0.5</v>
      </c>
      <c r="D20" s="77" t="s">
        <v>130</v>
      </c>
    </row>
    <row r="21" spans="1:8">
      <c r="A21" s="192" t="s">
        <v>131</v>
      </c>
      <c r="B21" s="193"/>
      <c r="C21" s="6">
        <f>MAX(CEILING(((C6*C7*C10*C9+C6*16+C7*16)*C8)/1024,4),G13)*C5*C4</f>
        <v>13500</v>
      </c>
      <c r="D21" s="5"/>
    </row>
    <row r="22" spans="1:8">
      <c r="A22" s="192" t="s">
        <v>132</v>
      </c>
      <c r="B22" s="193"/>
      <c r="C22" s="6">
        <f>CEILING((C11*C12*C13*C14)/1024,4)*C4</f>
        <v>9180</v>
      </c>
      <c r="D22" s="5"/>
    </row>
    <row r="23" spans="1:8">
      <c r="A23" s="192" t="s">
        <v>150</v>
      </c>
      <c r="B23" s="193"/>
      <c r="C23" s="6">
        <f>CEILING(C15*C16*C17/1024,4)*C4</f>
        <v>1536</v>
      </c>
      <c r="D23" s="5"/>
    </row>
    <row r="24" spans="1:8">
      <c r="A24" s="192" t="s">
        <v>151</v>
      </c>
      <c r="B24" s="193"/>
      <c r="C24" s="6">
        <f>CEILING(C19*C11*C12*C20/1024,4)*C4</f>
        <v>1020</v>
      </c>
      <c r="D24" s="5"/>
    </row>
    <row r="25" spans="1:8">
      <c r="A25" s="192" t="s">
        <v>152</v>
      </c>
      <c r="B25" s="193"/>
      <c r="C25" s="6">
        <f>C23*C18*2*C4</f>
        <v>1536</v>
      </c>
      <c r="D25" s="5" t="s">
        <v>135</v>
      </c>
    </row>
    <row r="26" spans="1:8" ht="17.25" thickBot="1">
      <c r="A26" s="63"/>
    </row>
    <row r="27" spans="1:8" ht="17.25" thickBot="1">
      <c r="A27" s="184" t="s">
        <v>140</v>
      </c>
      <c r="B27" s="185"/>
      <c r="C27" s="71" t="s">
        <v>1</v>
      </c>
      <c r="D27" s="71" t="s">
        <v>78</v>
      </c>
    </row>
    <row r="28" spans="1:8" ht="16.149999999999999" customHeight="1" thickBot="1">
      <c r="A28" s="190" t="s">
        <v>210</v>
      </c>
      <c r="B28" s="191"/>
      <c r="C28" s="72">
        <f>Overview!C12</f>
        <v>1</v>
      </c>
      <c r="D28" s="72"/>
      <c r="F28" s="82" t="s">
        <v>141</v>
      </c>
      <c r="G28" s="79" t="s">
        <v>1</v>
      </c>
      <c r="H28" s="79" t="s">
        <v>78</v>
      </c>
    </row>
    <row r="29" spans="1:8">
      <c r="A29" s="186" t="s">
        <v>137</v>
      </c>
      <c r="B29" s="64" t="s">
        <v>120</v>
      </c>
      <c r="C29" s="67">
        <f>IF(Overview!C7=0,0,1)</f>
        <v>1</v>
      </c>
      <c r="D29" s="73"/>
      <c r="F29" s="54" t="s">
        <v>107</v>
      </c>
      <c r="G29" s="6">
        <v>0</v>
      </c>
      <c r="H29" s="5"/>
    </row>
    <row r="30" spans="1:8">
      <c r="A30" s="187"/>
      <c r="B30" s="54" t="s">
        <v>127</v>
      </c>
      <c r="C30" s="68">
        <f>C35</f>
        <v>720</v>
      </c>
      <c r="D30" s="74"/>
      <c r="F30" s="54" t="s">
        <v>73</v>
      </c>
      <c r="G30" s="6">
        <v>960</v>
      </c>
      <c r="H30" s="5"/>
    </row>
    <row r="31" spans="1:8">
      <c r="A31" s="187"/>
      <c r="B31" s="54" t="s">
        <v>128</v>
      </c>
      <c r="C31" s="68">
        <f>IF(G29=1,CEILING(C36,G31),C36)</f>
        <v>576</v>
      </c>
      <c r="D31" s="74"/>
      <c r="F31" s="54" t="s">
        <v>74</v>
      </c>
      <c r="G31" s="6">
        <v>576</v>
      </c>
      <c r="H31" s="5"/>
    </row>
    <row r="32" spans="1:8">
      <c r="A32" s="187"/>
      <c r="B32" s="54" t="s">
        <v>4</v>
      </c>
      <c r="C32" s="68">
        <v>4</v>
      </c>
      <c r="D32" s="74"/>
      <c r="F32" s="54" t="s">
        <v>90</v>
      </c>
      <c r="G32" s="6">
        <v>2</v>
      </c>
      <c r="H32" s="5"/>
    </row>
    <row r="33" spans="1:8">
      <c r="A33" s="188"/>
      <c r="B33" s="66" t="s">
        <v>92</v>
      </c>
      <c r="C33" s="70">
        <v>1.5</v>
      </c>
      <c r="D33" s="77"/>
      <c r="F33" s="54" t="s">
        <v>91</v>
      </c>
      <c r="G33" s="6">
        <v>2</v>
      </c>
      <c r="H33" s="6"/>
    </row>
    <row r="34" spans="1:8" ht="16.149999999999999" customHeight="1" thickBot="1">
      <c r="A34" s="189"/>
      <c r="B34" s="65" t="s">
        <v>0</v>
      </c>
      <c r="C34" s="69">
        <v>0.75</v>
      </c>
      <c r="D34" s="75"/>
      <c r="F34" s="54" t="s">
        <v>93</v>
      </c>
      <c r="G34" s="6">
        <v>2</v>
      </c>
      <c r="H34" s="5"/>
    </row>
    <row r="35" spans="1:8">
      <c r="A35" s="186" t="s">
        <v>138</v>
      </c>
      <c r="B35" s="64" t="s">
        <v>73</v>
      </c>
      <c r="C35" s="67">
        <f>CEILING(Overview!C13,16)</f>
        <v>720</v>
      </c>
      <c r="D35" s="73"/>
      <c r="F35" s="54" t="s">
        <v>94</v>
      </c>
      <c r="G35" s="6">
        <v>1.5</v>
      </c>
      <c r="H35" s="6"/>
    </row>
    <row r="36" spans="1:8">
      <c r="A36" s="187"/>
      <c r="B36" s="54" t="s">
        <v>74</v>
      </c>
      <c r="C36" s="68">
        <f>CEILING(Overview!C14,16)</f>
        <v>576</v>
      </c>
      <c r="D36" s="74"/>
      <c r="F36" s="54" t="s">
        <v>95</v>
      </c>
      <c r="G36" s="6">
        <f>IF(Overview!C2="321",0.75,1)</f>
        <v>0.75</v>
      </c>
      <c r="H36" s="5"/>
    </row>
    <row r="37" spans="1:8">
      <c r="A37" s="188"/>
      <c r="B37" s="66" t="s">
        <v>4</v>
      </c>
      <c r="C37" s="70">
        <v>3</v>
      </c>
      <c r="D37" s="77"/>
      <c r="F37" s="81" t="s">
        <v>143</v>
      </c>
      <c r="G37" s="9">
        <f>CEILING((C30*C31*G33*G32+C30*C31*G35*G34*G36)/1024,4)*G29</f>
        <v>0</v>
      </c>
      <c r="H37" s="8"/>
    </row>
    <row r="38" spans="1:8" ht="16.149999999999999" customHeight="1" thickBot="1">
      <c r="A38" s="189"/>
      <c r="B38" s="65" t="s">
        <v>92</v>
      </c>
      <c r="C38" s="69">
        <v>2</v>
      </c>
      <c r="D38" s="75"/>
    </row>
    <row r="39" spans="1:8">
      <c r="A39" s="186" t="s">
        <v>139</v>
      </c>
      <c r="B39" s="64" t="s">
        <v>73</v>
      </c>
      <c r="C39" s="67">
        <f>CEILING(Overview!C13,16)</f>
        <v>720</v>
      </c>
      <c r="D39" s="73"/>
    </row>
    <row r="40" spans="1:8">
      <c r="A40" s="187"/>
      <c r="B40" s="54" t="s">
        <v>74</v>
      </c>
      <c r="C40" s="68">
        <f>CEILING(Overview!C14,16)</f>
        <v>576</v>
      </c>
      <c r="D40" s="74"/>
    </row>
    <row r="41" spans="1:8">
      <c r="A41" s="187"/>
      <c r="B41" s="54" t="s">
        <v>92</v>
      </c>
      <c r="C41" s="68">
        <v>2</v>
      </c>
      <c r="D41" s="74"/>
    </row>
    <row r="42" spans="1:8" ht="17.25" thickBot="1">
      <c r="A42" s="189"/>
      <c r="B42" s="65" t="s">
        <v>122</v>
      </c>
      <c r="C42" s="69">
        <v>0</v>
      </c>
      <c r="D42" s="75"/>
    </row>
    <row r="43" spans="1:8">
      <c r="A43" s="182" t="s">
        <v>123</v>
      </c>
      <c r="B43" s="64" t="s">
        <v>120</v>
      </c>
      <c r="C43" s="67">
        <v>1</v>
      </c>
      <c r="D43" s="73"/>
    </row>
    <row r="44" spans="1:8">
      <c r="A44" s="183"/>
      <c r="B44" s="66" t="s">
        <v>92</v>
      </c>
      <c r="C44" s="76">
        <v>0.5</v>
      </c>
      <c r="D44" s="77" t="s">
        <v>8</v>
      </c>
    </row>
    <row r="45" spans="1:8">
      <c r="A45" s="192" t="s">
        <v>144</v>
      </c>
      <c r="B45" s="193"/>
      <c r="C45" s="6">
        <f>MAX(CEILING((C30*C31*C34*C33+C30*16+C31*16)*C32/1024,4),G37)*C29*C28</f>
        <v>1904</v>
      </c>
      <c r="D45" s="5"/>
    </row>
    <row r="46" spans="1:8">
      <c r="A46" s="192" t="s">
        <v>145</v>
      </c>
      <c r="B46" s="193"/>
      <c r="C46" s="6">
        <f>CEILING((C35*C36*C37*C38)/1024,4)*C28</f>
        <v>2432</v>
      </c>
      <c r="D46" s="5"/>
    </row>
    <row r="47" spans="1:8">
      <c r="A47" s="192" t="s">
        <v>147</v>
      </c>
      <c r="B47" s="193"/>
      <c r="C47" s="6">
        <f>CEILING(C39*C40*C41/1024,4)*C28</f>
        <v>812</v>
      </c>
      <c r="D47" s="5"/>
    </row>
    <row r="48" spans="1:8">
      <c r="A48" s="192" t="s">
        <v>148</v>
      </c>
      <c r="B48" s="193"/>
      <c r="C48" s="6">
        <f>CEILING(C43*C35*C36*C44/1024,4)*C28</f>
        <v>204</v>
      </c>
      <c r="D48" s="5"/>
    </row>
    <row r="49" spans="1:8">
      <c r="A49" s="192" t="s">
        <v>149</v>
      </c>
      <c r="B49" s="193"/>
      <c r="C49" s="6">
        <f>C47*C42*2*C28</f>
        <v>0</v>
      </c>
      <c r="D49" s="5"/>
    </row>
    <row r="50" spans="1:8" ht="17.25" thickBot="1"/>
    <row r="51" spans="1:8" ht="17.25" thickBot="1">
      <c r="A51" s="184" t="s">
        <v>146</v>
      </c>
      <c r="B51" s="185"/>
      <c r="C51" s="71" t="s">
        <v>1</v>
      </c>
      <c r="D51" s="71" t="s">
        <v>78</v>
      </c>
    </row>
    <row r="52" spans="1:8" ht="17.25" thickBot="1">
      <c r="A52" s="190" t="s">
        <v>210</v>
      </c>
      <c r="B52" s="191"/>
      <c r="C52" s="72">
        <f>Overview!C15</f>
        <v>0</v>
      </c>
      <c r="D52" s="72"/>
      <c r="F52" s="82" t="s">
        <v>159</v>
      </c>
      <c r="G52" s="79" t="s">
        <v>1</v>
      </c>
      <c r="H52" s="79" t="s">
        <v>78</v>
      </c>
    </row>
    <row r="53" spans="1:8">
      <c r="A53" s="186" t="s">
        <v>137</v>
      </c>
      <c r="B53" s="64" t="s">
        <v>120</v>
      </c>
      <c r="C53" s="67">
        <f>IF(Overview!C7=0,0,1)</f>
        <v>1</v>
      </c>
      <c r="D53" s="73"/>
      <c r="F53" s="54" t="s">
        <v>107</v>
      </c>
      <c r="G53" s="6">
        <v>1</v>
      </c>
      <c r="H53" s="5"/>
    </row>
    <row r="54" spans="1:8">
      <c r="A54" s="187"/>
      <c r="B54" s="54" t="s">
        <v>127</v>
      </c>
      <c r="C54" s="68">
        <f>C59</f>
        <v>720</v>
      </c>
      <c r="D54" s="74"/>
      <c r="F54" s="54" t="s">
        <v>73</v>
      </c>
      <c r="G54" s="6">
        <v>960</v>
      </c>
      <c r="H54" s="5"/>
    </row>
    <row r="55" spans="1:8">
      <c r="A55" s="187"/>
      <c r="B55" s="54" t="s">
        <v>128</v>
      </c>
      <c r="C55" s="68">
        <f>IF(G53=1,CEILING(C60,G55),C60)</f>
        <v>576</v>
      </c>
      <c r="D55" s="74"/>
      <c r="F55" s="54" t="s">
        <v>74</v>
      </c>
      <c r="G55" s="6">
        <v>576</v>
      </c>
      <c r="H55" s="5"/>
    </row>
    <row r="56" spans="1:8">
      <c r="A56" s="187"/>
      <c r="B56" s="54" t="s">
        <v>4</v>
      </c>
      <c r="C56" s="68">
        <v>4</v>
      </c>
      <c r="D56" s="74"/>
      <c r="F56" s="54" t="s">
        <v>90</v>
      </c>
      <c r="G56" s="6">
        <v>2</v>
      </c>
      <c r="H56" s="5"/>
    </row>
    <row r="57" spans="1:8">
      <c r="A57" s="188"/>
      <c r="B57" s="66" t="s">
        <v>92</v>
      </c>
      <c r="C57" s="70">
        <v>1.5</v>
      </c>
      <c r="D57" s="77"/>
      <c r="F57" s="54" t="s">
        <v>91</v>
      </c>
      <c r="G57" s="6">
        <v>2</v>
      </c>
      <c r="H57" s="6"/>
    </row>
    <row r="58" spans="1:8" ht="17.25" thickBot="1">
      <c r="A58" s="189"/>
      <c r="B58" s="65" t="s">
        <v>0</v>
      </c>
      <c r="C58" s="69">
        <v>0.75</v>
      </c>
      <c r="D58" s="75"/>
      <c r="F58" s="54" t="s">
        <v>93</v>
      </c>
      <c r="G58" s="6">
        <v>2</v>
      </c>
      <c r="H58" s="5"/>
    </row>
    <row r="59" spans="1:8">
      <c r="A59" s="186" t="s">
        <v>138</v>
      </c>
      <c r="B59" s="64" t="s">
        <v>73</v>
      </c>
      <c r="C59" s="67">
        <f>CEILING(Overview!C16,16)</f>
        <v>720</v>
      </c>
      <c r="D59" s="73"/>
      <c r="F59" s="54" t="s">
        <v>94</v>
      </c>
      <c r="G59" s="6">
        <v>1.5</v>
      </c>
      <c r="H59" s="6"/>
    </row>
    <row r="60" spans="1:8">
      <c r="A60" s="187"/>
      <c r="B60" s="54" t="s">
        <v>74</v>
      </c>
      <c r="C60" s="68">
        <f>CEILING(Overview!C17,16)</f>
        <v>576</v>
      </c>
      <c r="D60" s="74"/>
      <c r="F60" s="54" t="s">
        <v>95</v>
      </c>
      <c r="G60" s="6">
        <f>IF(Overview!C2="321",0.75,1)</f>
        <v>0.75</v>
      </c>
      <c r="H60" s="5"/>
    </row>
    <row r="61" spans="1:8">
      <c r="A61" s="188"/>
      <c r="B61" s="66" t="s">
        <v>4</v>
      </c>
      <c r="C61" s="70">
        <v>3</v>
      </c>
      <c r="D61" s="77"/>
      <c r="F61" s="81" t="s">
        <v>158</v>
      </c>
      <c r="G61" s="9">
        <f>CEILING((C54*C55*G57*G56+C54*C55*G59*G58*G60)/1024,4)*G53</f>
        <v>2532</v>
      </c>
      <c r="H61" s="8"/>
    </row>
    <row r="62" spans="1:8" ht="17.25" thickBot="1">
      <c r="A62" s="189"/>
      <c r="B62" s="65" t="s">
        <v>92</v>
      </c>
      <c r="C62" s="69">
        <v>2</v>
      </c>
      <c r="D62" s="75"/>
    </row>
    <row r="63" spans="1:8">
      <c r="A63" s="186" t="s">
        <v>139</v>
      </c>
      <c r="B63" s="64" t="s">
        <v>73</v>
      </c>
      <c r="C63" s="67">
        <f>CEILING(Overview!C16,16)</f>
        <v>720</v>
      </c>
      <c r="D63" s="73"/>
    </row>
    <row r="64" spans="1:8">
      <c r="A64" s="187"/>
      <c r="B64" s="54" t="s">
        <v>74</v>
      </c>
      <c r="C64" s="68">
        <f>CEILING(Overview!C17,16)</f>
        <v>576</v>
      </c>
      <c r="D64" s="74"/>
    </row>
    <row r="65" spans="1:4">
      <c r="A65" s="187"/>
      <c r="B65" s="54" t="s">
        <v>92</v>
      </c>
      <c r="C65" s="68">
        <v>2</v>
      </c>
      <c r="D65" s="74"/>
    </row>
    <row r="66" spans="1:4" ht="17.25" thickBot="1">
      <c r="A66" s="189"/>
      <c r="B66" s="65" t="s">
        <v>122</v>
      </c>
      <c r="C66" s="69">
        <v>0</v>
      </c>
      <c r="D66" s="75"/>
    </row>
    <row r="67" spans="1:4">
      <c r="A67" s="182" t="s">
        <v>123</v>
      </c>
      <c r="B67" s="64" t="s">
        <v>120</v>
      </c>
      <c r="C67" s="67">
        <v>1</v>
      </c>
      <c r="D67" s="73"/>
    </row>
    <row r="68" spans="1:4">
      <c r="A68" s="183"/>
      <c r="B68" s="66" t="s">
        <v>92</v>
      </c>
      <c r="C68" s="76">
        <v>0.5</v>
      </c>
      <c r="D68" s="77" t="s">
        <v>8</v>
      </c>
    </row>
    <row r="69" spans="1:4">
      <c r="A69" s="196" t="s">
        <v>156</v>
      </c>
      <c r="B69" s="193"/>
      <c r="C69" s="6">
        <f>MAX(CEILING((C54*C55*C58*C57+C54*16+C55*16)*C56/1024,4),G61)*C53*C52</f>
        <v>0</v>
      </c>
      <c r="D69" s="74"/>
    </row>
    <row r="70" spans="1:4">
      <c r="A70" s="196" t="s">
        <v>157</v>
      </c>
      <c r="B70" s="193"/>
      <c r="C70" s="6">
        <f>CEILING((C59*C60*C61*C62)/1024,4)*C52</f>
        <v>0</v>
      </c>
      <c r="D70" s="74"/>
    </row>
    <row r="71" spans="1:4">
      <c r="A71" s="196" t="s">
        <v>153</v>
      </c>
      <c r="B71" s="193"/>
      <c r="C71" s="6">
        <f>CEILING(C63*C64*C65/1024,4)*C52</f>
        <v>0</v>
      </c>
      <c r="D71" s="74"/>
    </row>
    <row r="72" spans="1:4">
      <c r="A72" s="196" t="s">
        <v>154</v>
      </c>
      <c r="B72" s="193"/>
      <c r="C72" s="6">
        <f>CEILING(C67*C59*C60*C68/1024,4)*C52</f>
        <v>0</v>
      </c>
      <c r="D72" s="74"/>
    </row>
    <row r="73" spans="1:4" ht="17.25" thickBot="1">
      <c r="A73" s="194" t="s">
        <v>155</v>
      </c>
      <c r="B73" s="195"/>
      <c r="C73" s="83">
        <f>C71*C66*2*C52</f>
        <v>0</v>
      </c>
      <c r="D73" s="75"/>
    </row>
  </sheetData>
  <mergeCells count="34">
    <mergeCell ref="A73:B73"/>
    <mergeCell ref="A49:B49"/>
    <mergeCell ref="A51:B51"/>
    <mergeCell ref="A52:B52"/>
    <mergeCell ref="A53:A58"/>
    <mergeCell ref="A59:A62"/>
    <mergeCell ref="A63:A66"/>
    <mergeCell ref="A72:B72"/>
    <mergeCell ref="A71:B71"/>
    <mergeCell ref="A70:B70"/>
    <mergeCell ref="A67:A68"/>
    <mergeCell ref="A69:B69"/>
    <mergeCell ref="A46:B46"/>
    <mergeCell ref="A47:B47"/>
    <mergeCell ref="A48:B48"/>
    <mergeCell ref="A45:B45"/>
    <mergeCell ref="A21:B21"/>
    <mergeCell ref="A22:B22"/>
    <mergeCell ref="A23:B23"/>
    <mergeCell ref="A24:B24"/>
    <mergeCell ref="A25:B25"/>
    <mergeCell ref="A39:A42"/>
    <mergeCell ref="A43:A44"/>
    <mergeCell ref="A28:B28"/>
    <mergeCell ref="A29:A34"/>
    <mergeCell ref="A35:A38"/>
    <mergeCell ref="A1:D1"/>
    <mergeCell ref="A19:A20"/>
    <mergeCell ref="A27:B27"/>
    <mergeCell ref="A5:A10"/>
    <mergeCell ref="A11:A14"/>
    <mergeCell ref="A4:B4"/>
    <mergeCell ref="A3:B3"/>
    <mergeCell ref="A15:A18"/>
  </mergeCells>
  <phoneticPr fontId="2" type="noConversion"/>
  <dataValidations count="1">
    <dataValidation type="list" allowBlank="1" showInputMessage="1" showErrorMessage="1" sqref="C5 C19 G29 G5 C29 C43 G53 C53 C67">
      <formula1>"0,1"</formula1>
    </dataValidation>
  </dataValidations>
  <pageMargins left="0.7" right="0.7" top="0.75" bottom="0.75" header="0.3" footer="0.3"/>
  <pageSetup paperSize="148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1"/>
  <dimension ref="A1:Q79"/>
  <sheetViews>
    <sheetView zoomScaleNormal="100" workbookViewId="0">
      <selection activeCell="B7" sqref="B7"/>
    </sheetView>
  </sheetViews>
  <sheetFormatPr defaultRowHeight="16.5"/>
  <cols>
    <col min="1" max="1" width="27" customWidth="1"/>
    <col min="2" max="2" width="9.5" style="4" customWidth="1"/>
    <col min="3" max="3" width="8.875" style="4"/>
    <col min="4" max="4" width="1.5" customWidth="1"/>
    <col min="5" max="5" width="27.25" customWidth="1"/>
    <col min="7" max="7" width="9.375" customWidth="1"/>
    <col min="8" max="8" width="1.375" customWidth="1"/>
    <col min="9" max="9" width="27.125" customWidth="1"/>
    <col min="10" max="10" width="9.125" customWidth="1"/>
    <col min="12" max="12" width="1.125" customWidth="1"/>
    <col min="13" max="13" width="27.5" customWidth="1"/>
  </cols>
  <sheetData>
    <row r="1" spans="1:17">
      <c r="A1" s="179" t="s">
        <v>77</v>
      </c>
      <c r="B1" s="180"/>
      <c r="C1" s="181"/>
      <c r="E1" s="179" t="s">
        <v>47</v>
      </c>
      <c r="F1" s="180"/>
      <c r="G1" s="181"/>
      <c r="I1" s="179" t="s">
        <v>96</v>
      </c>
      <c r="J1" s="180"/>
      <c r="K1" s="181"/>
      <c r="M1" s="179" t="s">
        <v>45</v>
      </c>
      <c r="N1" s="180"/>
      <c r="O1" s="181"/>
    </row>
    <row r="2" spans="1:17" ht="10.15" customHeight="1">
      <c r="C2" s="132"/>
      <c r="D2" s="15"/>
      <c r="E2" s="55"/>
      <c r="F2" s="56"/>
      <c r="G2" s="56"/>
      <c r="I2" s="56"/>
      <c r="J2" s="56"/>
      <c r="K2" s="56"/>
      <c r="L2" s="56"/>
      <c r="M2" s="57"/>
      <c r="N2" s="55"/>
      <c r="O2" s="56"/>
      <c r="Q2" s="2"/>
    </row>
    <row r="3" spans="1:17">
      <c r="A3" s="48" t="s">
        <v>76</v>
      </c>
      <c r="B3" s="49" t="s">
        <v>70</v>
      </c>
      <c r="C3" s="49" t="s">
        <v>78</v>
      </c>
      <c r="E3" s="48" t="s">
        <v>44</v>
      </c>
      <c r="F3" s="49" t="s">
        <v>70</v>
      </c>
      <c r="G3" s="49" t="s">
        <v>78</v>
      </c>
      <c r="I3" s="48" t="s">
        <v>44</v>
      </c>
      <c r="J3" s="49" t="s">
        <v>70</v>
      </c>
      <c r="K3" s="49" t="s">
        <v>78</v>
      </c>
      <c r="M3" s="48" t="s">
        <v>44</v>
      </c>
      <c r="N3" s="49" t="s">
        <v>70</v>
      </c>
      <c r="O3" s="49" t="s">
        <v>78</v>
      </c>
    </row>
    <row r="4" spans="1:17">
      <c r="A4" s="42" t="s">
        <v>6</v>
      </c>
      <c r="B4" s="6">
        <f>Overview!C26</f>
        <v>2</v>
      </c>
      <c r="C4" s="6"/>
      <c r="E4" s="42" t="s">
        <v>6</v>
      </c>
      <c r="F4" s="6">
        <f>Overview!G26</f>
        <v>8</v>
      </c>
      <c r="G4" s="5"/>
      <c r="I4" s="42" t="s">
        <v>6</v>
      </c>
      <c r="J4" s="6">
        <f>Overview!K26</f>
        <v>4</v>
      </c>
      <c r="K4" s="5"/>
      <c r="M4" s="42" t="s">
        <v>6</v>
      </c>
      <c r="N4" s="6">
        <f>Overview!O26</f>
        <v>4</v>
      </c>
      <c r="O4" s="5"/>
    </row>
    <row r="5" spans="1:17">
      <c r="A5" s="42" t="s">
        <v>73</v>
      </c>
      <c r="B5" s="6">
        <f>CEILING(Overview!C27,16)</f>
        <v>1920</v>
      </c>
      <c r="C5" s="6"/>
      <c r="E5" s="42" t="s">
        <v>73</v>
      </c>
      <c r="F5" s="6">
        <f>CEILING(Overview!G27,16)</f>
        <v>1920</v>
      </c>
      <c r="G5" s="5"/>
      <c r="I5" s="42" t="s">
        <v>73</v>
      </c>
      <c r="J5" s="6">
        <f>CEILING(Overview!K27,16)</f>
        <v>1920</v>
      </c>
      <c r="K5" s="5"/>
      <c r="M5" s="42" t="s">
        <v>73</v>
      </c>
      <c r="N5" s="6">
        <f>CEILING(Overview!O27,16)</f>
        <v>1920</v>
      </c>
      <c r="O5" s="5"/>
    </row>
    <row r="6" spans="1:17">
      <c r="A6" s="42" t="s">
        <v>74</v>
      </c>
      <c r="B6" s="6">
        <f>CEILING(Overview!C28,16)</f>
        <v>1088</v>
      </c>
      <c r="C6" s="6"/>
      <c r="E6" s="42" t="s">
        <v>74</v>
      </c>
      <c r="F6" s="6">
        <f>CEILING(Overview!G28,16)</f>
        <v>1088</v>
      </c>
      <c r="G6" s="5"/>
      <c r="I6" s="42" t="s">
        <v>74</v>
      </c>
      <c r="J6" s="6">
        <f>CEILING(Overview!K28,16)</f>
        <v>1088</v>
      </c>
      <c r="K6" s="5"/>
      <c r="M6" s="42" t="s">
        <v>74</v>
      </c>
      <c r="N6" s="6">
        <f>CEILING(Overview!O28,16)</f>
        <v>1088</v>
      </c>
      <c r="O6" s="5"/>
    </row>
    <row r="7" spans="1:17">
      <c r="A7" s="42" t="s">
        <v>4</v>
      </c>
      <c r="B7" s="6">
        <f>Overview!C29</f>
        <v>2</v>
      </c>
      <c r="C7" s="6"/>
      <c r="E7" s="42" t="s">
        <v>4</v>
      </c>
      <c r="F7" s="6">
        <f>B7</f>
        <v>2</v>
      </c>
      <c r="G7" s="5"/>
      <c r="I7" s="42" t="s">
        <v>4</v>
      </c>
      <c r="J7" s="6">
        <f>B7</f>
        <v>2</v>
      </c>
      <c r="K7" s="5"/>
      <c r="M7" s="42" t="s">
        <v>4</v>
      </c>
      <c r="N7" s="6">
        <f>B7</f>
        <v>2</v>
      </c>
      <c r="O7" s="5"/>
    </row>
    <row r="8" spans="1:17">
      <c r="A8" s="42" t="s">
        <v>75</v>
      </c>
      <c r="B8" s="6">
        <v>8192</v>
      </c>
      <c r="C8" s="6"/>
      <c r="E8" s="42" t="s">
        <v>75</v>
      </c>
      <c r="F8" s="6">
        <v>8192</v>
      </c>
      <c r="G8" s="5"/>
      <c r="I8" s="42" t="s">
        <v>75</v>
      </c>
      <c r="J8" s="6">
        <v>8192</v>
      </c>
      <c r="K8" s="5"/>
      <c r="M8" s="42" t="s">
        <v>75</v>
      </c>
      <c r="N8" s="6">
        <v>8192</v>
      </c>
      <c r="O8" s="5"/>
    </row>
    <row r="9" spans="1:17">
      <c r="A9" s="42" t="s">
        <v>92</v>
      </c>
      <c r="B9" s="6">
        <v>1.5</v>
      </c>
      <c r="C9" s="6"/>
      <c r="E9" s="42" t="s">
        <v>92</v>
      </c>
      <c r="F9" s="6">
        <v>1.5</v>
      </c>
      <c r="G9" s="6"/>
      <c r="I9" s="42" t="s">
        <v>92</v>
      </c>
      <c r="J9" s="6">
        <v>1.5</v>
      </c>
      <c r="K9" s="6"/>
      <c r="M9" s="42" t="s">
        <v>92</v>
      </c>
      <c r="N9" s="6">
        <v>1.5</v>
      </c>
      <c r="O9" s="6"/>
    </row>
    <row r="10" spans="1:17">
      <c r="A10" s="42" t="s">
        <v>0</v>
      </c>
      <c r="B10" s="6">
        <v>0.75</v>
      </c>
      <c r="C10" s="6"/>
      <c r="E10" s="42" t="s">
        <v>0</v>
      </c>
      <c r="F10" s="6">
        <v>0.75</v>
      </c>
      <c r="G10" s="5"/>
      <c r="I10" s="42" t="s">
        <v>0</v>
      </c>
      <c r="J10" s="6">
        <v>0.75</v>
      </c>
      <c r="K10" s="5"/>
      <c r="M10" s="42" t="s">
        <v>0</v>
      </c>
      <c r="N10" s="6">
        <v>0.75</v>
      </c>
      <c r="O10" s="5"/>
    </row>
    <row r="11" spans="1:17">
      <c r="A11" s="42" t="s">
        <v>2</v>
      </c>
      <c r="B11" s="6">
        <v>0.3</v>
      </c>
      <c r="C11" s="6"/>
      <c r="E11" s="42" t="s">
        <v>2</v>
      </c>
      <c r="F11" s="6">
        <v>0.3</v>
      </c>
      <c r="G11" s="5"/>
      <c r="I11" s="42" t="s">
        <v>2</v>
      </c>
      <c r="J11" s="6">
        <v>0.3</v>
      </c>
      <c r="K11" s="5"/>
      <c r="M11" s="42" t="s">
        <v>2</v>
      </c>
      <c r="N11" s="6">
        <v>0.3</v>
      </c>
      <c r="O11" s="5"/>
    </row>
    <row r="12" spans="1:17">
      <c r="A12" s="51" t="s">
        <v>27</v>
      </c>
      <c r="B12" s="6">
        <v>7</v>
      </c>
      <c r="C12" s="6"/>
      <c r="E12" s="51" t="s">
        <v>27</v>
      </c>
      <c r="F12" s="6">
        <v>7</v>
      </c>
      <c r="G12" s="5"/>
      <c r="I12" s="51" t="s">
        <v>27</v>
      </c>
      <c r="J12" s="6">
        <v>7</v>
      </c>
      <c r="K12" s="5"/>
      <c r="M12" s="51" t="s">
        <v>27</v>
      </c>
      <c r="N12" s="6">
        <v>7</v>
      </c>
      <c r="O12" s="5"/>
    </row>
    <row r="13" spans="1:17">
      <c r="A13" s="51" t="s">
        <v>7</v>
      </c>
      <c r="B13" s="6">
        <v>3</v>
      </c>
      <c r="C13" s="133"/>
      <c r="E13" s="51" t="s">
        <v>7</v>
      </c>
      <c r="F13" s="6">
        <v>3</v>
      </c>
      <c r="G13" s="3"/>
      <c r="I13" s="51" t="s">
        <v>7</v>
      </c>
      <c r="J13" s="6">
        <v>3</v>
      </c>
      <c r="K13" s="3"/>
      <c r="M13" s="51" t="s">
        <v>7</v>
      </c>
      <c r="N13" s="6">
        <v>3</v>
      </c>
      <c r="O13" s="3"/>
    </row>
    <row r="14" spans="1:17">
      <c r="A14" s="42" t="s">
        <v>176</v>
      </c>
      <c r="B14" s="6">
        <f>IF(B4&gt;0, CEILING((B5*B6*B9*B10)/1024,4),0)</f>
        <v>2296</v>
      </c>
      <c r="C14" s="6"/>
      <c r="E14" s="42" t="s">
        <v>176</v>
      </c>
      <c r="F14" s="6">
        <f>IF(F4&gt;0, CEILING((F5*F6*F9*F10)/1024,4),0)</f>
        <v>2296</v>
      </c>
      <c r="G14" s="5"/>
      <c r="I14" s="42" t="s">
        <v>176</v>
      </c>
      <c r="J14" s="6">
        <f>IF(J4&gt;0, CEILING((J5*J6*J9*J10)/1024,4),0)</f>
        <v>2296</v>
      </c>
      <c r="K14" s="5"/>
      <c r="M14" s="42" t="s">
        <v>176</v>
      </c>
      <c r="N14" s="6">
        <f>IF(N4&gt;0, CEILING((N5*N6*N9*N10)/1024,4),0)</f>
        <v>2296</v>
      </c>
      <c r="O14" s="5"/>
    </row>
    <row r="15" spans="1:17">
      <c r="A15" s="43" t="s">
        <v>71</v>
      </c>
      <c r="B15" s="6">
        <f>IF(B79*B4*B71&gt;B4*B7*B14,B79*B4,B4*B7*B14)</f>
        <v>9184</v>
      </c>
      <c r="C15" s="6"/>
      <c r="E15" s="43" t="s">
        <v>71</v>
      </c>
      <c r="F15" s="6">
        <f>IF(F79*F4*F71&gt;F4*F7*F14,F79*F4,F4*F7*F14)</f>
        <v>36736</v>
      </c>
      <c r="G15" s="5"/>
      <c r="I15" s="43" t="s">
        <v>71</v>
      </c>
      <c r="J15" s="6">
        <f>IF(J79*J4*J71&gt;J4*J7*J14,J79*J4,J4*J7*J14)</f>
        <v>18368</v>
      </c>
      <c r="K15" s="5"/>
      <c r="M15" s="43" t="s">
        <v>71</v>
      </c>
      <c r="N15" s="6">
        <f>IF(N79*N4*N71&gt;N4*N7*N14,N79*N4,N4*N7*N14)</f>
        <v>18368</v>
      </c>
      <c r="O15" s="5"/>
    </row>
    <row r="16" spans="1:17">
      <c r="A16" s="43" t="s">
        <v>72</v>
      </c>
      <c r="B16" s="6">
        <f>CEILING((((B5*B6*B9*B11*2)/1024+(B8/8/25)*B12))*B4,4)+F16+J16+N16</f>
        <v>4248</v>
      </c>
      <c r="C16" s="6"/>
      <c r="E16" s="43" t="s">
        <v>72</v>
      </c>
      <c r="F16" s="6">
        <f>IF(OR(Overview!$C$2="315/316",Overview!$C$2="316x2"),CEILING((((F5*F6*F9*F11*2)/1024+(F8/8/25)*F12))*F4,4),0)</f>
        <v>0</v>
      </c>
      <c r="G16" s="5"/>
      <c r="I16" s="43" t="s">
        <v>72</v>
      </c>
      <c r="J16" s="6">
        <f>IF(Overview!$C$2="316x2",CEILING((((J5*J6*J9*J11*2)/1024+(J8/8/25)*J12))*J4,4),0)</f>
        <v>0</v>
      </c>
      <c r="K16" s="5"/>
      <c r="M16" s="43" t="s">
        <v>72</v>
      </c>
      <c r="N16" s="6">
        <f>IF(Overview!$C$2="316x2",CEILING((((N5*N6*N9*N11*2)/1024+(N8/8/25)*N12))*N4,4),0)</f>
        <v>0</v>
      </c>
      <c r="O16" s="5"/>
    </row>
    <row r="17" spans="1:15">
      <c r="A17" s="43" t="s">
        <v>178</v>
      </c>
      <c r="B17" s="6">
        <f>IF(B4&gt;0,CEILING((CEILING(B5,64)*CEILING(B6,64)*B9)*1.06/1024, 4),0)</f>
        <v>3244</v>
      </c>
      <c r="C17" s="6"/>
      <c r="E17" s="43" t="s">
        <v>178</v>
      </c>
      <c r="F17" s="6">
        <f>CEILING((CEILING(F5,64)*CEILING(F6,64)*F9)*1.06/1024, 4)</f>
        <v>3244</v>
      </c>
      <c r="G17" s="5"/>
      <c r="I17" s="43" t="s">
        <v>178</v>
      </c>
      <c r="J17" s="6">
        <f>CEILING((CEILING(J5,64)*CEILING(J6,64)*J9)*1.06/1024, 4)</f>
        <v>3244</v>
      </c>
      <c r="K17" s="5"/>
      <c r="M17" s="43" t="s">
        <v>178</v>
      </c>
      <c r="N17" s="6">
        <f>CEILING((CEILING(N5,64)*CEILING(N6,64)*N9)*1.06/1024, 4)</f>
        <v>3244</v>
      </c>
      <c r="O17" s="5"/>
    </row>
    <row r="18" spans="1:15">
      <c r="A18" s="78" t="s">
        <v>179</v>
      </c>
      <c r="B18" s="6">
        <f>B4*B13</f>
        <v>6</v>
      </c>
      <c r="C18" s="6"/>
      <c r="E18" s="78" t="s">
        <v>179</v>
      </c>
      <c r="F18" s="6">
        <f>F4*F13</f>
        <v>24</v>
      </c>
      <c r="G18" s="5"/>
      <c r="I18" s="78" t="s">
        <v>179</v>
      </c>
      <c r="J18" s="6">
        <f>J4*J13</f>
        <v>12</v>
      </c>
      <c r="K18" s="5"/>
      <c r="M18" s="78" t="s">
        <v>179</v>
      </c>
      <c r="N18" s="6">
        <f>N4*N13</f>
        <v>12</v>
      </c>
      <c r="O18" s="5"/>
    </row>
    <row r="19" spans="1:15">
      <c r="A19" s="127" t="s">
        <v>226</v>
      </c>
      <c r="B19" s="6">
        <f>IF(B4&gt;0,CEILING((CEILING(B5,64)*CEILING(B6,64)*B9)*C19/1024, 4),0)</f>
        <v>2328</v>
      </c>
      <c r="C19" s="6">
        <f>IF(Overview!C2="321",0.76,1.06)</f>
        <v>0.76</v>
      </c>
      <c r="E19" s="127" t="s">
        <v>226</v>
      </c>
      <c r="F19" s="6">
        <f>IF(F4&gt;0,CEILING((CEILING(F5,64)*CEILING(F6,64)*F9)*G19/1024, 4),0)</f>
        <v>3244</v>
      </c>
      <c r="G19" s="6">
        <f>IF(Overview!G2="321",0.76,1.06)</f>
        <v>1.06</v>
      </c>
      <c r="I19" s="127" t="s">
        <v>226</v>
      </c>
      <c r="J19" s="6">
        <f>IF(J4&gt;0,CEILING((CEILING(J5,64)*CEILING(J6,64)*J9)*K19/1024, 4),0)</f>
        <v>3244</v>
      </c>
      <c r="K19" s="6">
        <f>IF(Overview!K2="321",0.76,1.06)</f>
        <v>1.06</v>
      </c>
      <c r="M19" s="127" t="s">
        <v>226</v>
      </c>
      <c r="N19" s="6">
        <f>IF(N4&gt;0,CEILING((CEILING(N5,64)*CEILING(N6,64)*N9)*O19/1024, 4),0)</f>
        <v>3244</v>
      </c>
      <c r="O19" s="6">
        <f>IF(Overview!O2="321",0.76,1.06)</f>
        <v>1.06</v>
      </c>
    </row>
    <row r="20" spans="1:15">
      <c r="A20" s="127" t="s">
        <v>227</v>
      </c>
      <c r="B20" s="6">
        <f>B4</f>
        <v>2</v>
      </c>
      <c r="C20" s="6"/>
      <c r="E20" s="127" t="s">
        <v>227</v>
      </c>
      <c r="F20" s="6">
        <f>F4</f>
        <v>8</v>
      </c>
      <c r="G20" s="5"/>
      <c r="I20" s="127" t="s">
        <v>227</v>
      </c>
      <c r="J20" s="6">
        <f>J4</f>
        <v>4</v>
      </c>
      <c r="K20" s="5"/>
      <c r="M20" s="127" t="s">
        <v>227</v>
      </c>
      <c r="N20" s="6">
        <f>N4</f>
        <v>4</v>
      </c>
      <c r="O20" s="5"/>
    </row>
    <row r="22" spans="1:15">
      <c r="A22" s="48" t="s">
        <v>43</v>
      </c>
      <c r="B22" s="49" t="s">
        <v>70</v>
      </c>
      <c r="C22" s="49" t="s">
        <v>78</v>
      </c>
      <c r="E22" s="48" t="s">
        <v>43</v>
      </c>
      <c r="F22" s="49" t="s">
        <v>70</v>
      </c>
      <c r="G22" s="49" t="s">
        <v>78</v>
      </c>
      <c r="I22" s="48" t="s">
        <v>43</v>
      </c>
      <c r="J22" s="49" t="s">
        <v>70</v>
      </c>
      <c r="K22" s="49" t="s">
        <v>78</v>
      </c>
      <c r="M22" s="48" t="s">
        <v>43</v>
      </c>
      <c r="N22" s="49" t="s">
        <v>70</v>
      </c>
      <c r="O22" s="49" t="s">
        <v>78</v>
      </c>
    </row>
    <row r="23" spans="1:15">
      <c r="A23" s="42" t="s">
        <v>6</v>
      </c>
      <c r="B23" s="6">
        <f>Overview!C30</f>
        <v>0</v>
      </c>
      <c r="C23" s="6"/>
      <c r="E23" s="42" t="s">
        <v>6</v>
      </c>
      <c r="F23" s="6">
        <f>Overview!G30</f>
        <v>0</v>
      </c>
      <c r="G23" s="5"/>
      <c r="I23" s="42" t="s">
        <v>6</v>
      </c>
      <c r="J23" s="6">
        <f>Overview!K30</f>
        <v>0</v>
      </c>
      <c r="K23" s="5"/>
      <c r="M23" s="42" t="s">
        <v>6</v>
      </c>
      <c r="N23" s="6">
        <f>Overview!O30</f>
        <v>0</v>
      </c>
      <c r="O23" s="5"/>
    </row>
    <row r="24" spans="1:15">
      <c r="A24" s="42" t="s">
        <v>73</v>
      </c>
      <c r="B24" s="6">
        <f>CEILING(Overview!C31,16)</f>
        <v>2560</v>
      </c>
      <c r="C24" s="6"/>
      <c r="E24" s="42" t="s">
        <v>73</v>
      </c>
      <c r="F24" s="6">
        <f>CEILING(Overview!G31,16)</f>
        <v>2560</v>
      </c>
      <c r="G24" s="5"/>
      <c r="I24" s="42" t="s">
        <v>73</v>
      </c>
      <c r="J24" s="6">
        <f>CEILING(Overview!K31,16)</f>
        <v>2560</v>
      </c>
      <c r="K24" s="5"/>
      <c r="M24" s="42" t="s">
        <v>73</v>
      </c>
      <c r="N24" s="6">
        <f>CEILING(Overview!O31,16)</f>
        <v>2560</v>
      </c>
      <c r="O24" s="5"/>
    </row>
    <row r="25" spans="1:15">
      <c r="A25" s="42" t="s">
        <v>74</v>
      </c>
      <c r="B25" s="6">
        <f>CEILING(Overview!C32,16)</f>
        <v>1440</v>
      </c>
      <c r="C25" s="6"/>
      <c r="E25" s="42" t="s">
        <v>74</v>
      </c>
      <c r="F25" s="6">
        <f>CEILING(Overview!G32,16)</f>
        <v>1440</v>
      </c>
      <c r="G25" s="5"/>
      <c r="I25" s="42" t="s">
        <v>74</v>
      </c>
      <c r="J25" s="6">
        <f>CEILING(Overview!K32,16)</f>
        <v>1440</v>
      </c>
      <c r="K25" s="5"/>
      <c r="M25" s="42" t="s">
        <v>74</v>
      </c>
      <c r="N25" s="6">
        <f>CEILING(Overview!O32,16)</f>
        <v>1440</v>
      </c>
      <c r="O25" s="5"/>
    </row>
    <row r="26" spans="1:15">
      <c r="A26" s="42" t="s">
        <v>4</v>
      </c>
      <c r="B26" s="6">
        <f>Overview!C33</f>
        <v>2</v>
      </c>
      <c r="C26" s="6"/>
      <c r="E26" s="42" t="s">
        <v>4</v>
      </c>
      <c r="F26" s="6">
        <f>Overview!G33</f>
        <v>2</v>
      </c>
      <c r="G26" s="5"/>
      <c r="I26" s="42" t="s">
        <v>4</v>
      </c>
      <c r="J26" s="6">
        <f>Overview!K33</f>
        <v>2</v>
      </c>
      <c r="K26" s="5"/>
      <c r="M26" s="42" t="s">
        <v>4</v>
      </c>
      <c r="N26" s="6">
        <f>Overview!O33</f>
        <v>2</v>
      </c>
      <c r="O26" s="5"/>
    </row>
    <row r="27" spans="1:15">
      <c r="A27" s="42" t="s">
        <v>75</v>
      </c>
      <c r="B27" s="6">
        <v>8192</v>
      </c>
      <c r="C27" s="6"/>
      <c r="E27" s="42" t="s">
        <v>75</v>
      </c>
      <c r="F27" s="6">
        <v>8192</v>
      </c>
      <c r="G27" s="5"/>
      <c r="I27" s="42" t="s">
        <v>75</v>
      </c>
      <c r="J27" s="6">
        <v>8192</v>
      </c>
      <c r="K27" s="5"/>
      <c r="M27" s="42" t="s">
        <v>75</v>
      </c>
      <c r="N27" s="6">
        <v>8192</v>
      </c>
      <c r="O27" s="5"/>
    </row>
    <row r="28" spans="1:15">
      <c r="A28" s="42" t="s">
        <v>92</v>
      </c>
      <c r="B28" s="6">
        <v>1.5</v>
      </c>
      <c r="C28" s="6"/>
      <c r="E28" s="42" t="s">
        <v>92</v>
      </c>
      <c r="F28" s="6">
        <v>1.5</v>
      </c>
      <c r="G28" s="6"/>
      <c r="I28" s="42" t="s">
        <v>92</v>
      </c>
      <c r="J28" s="6">
        <v>1.5</v>
      </c>
      <c r="K28" s="6"/>
      <c r="M28" s="42" t="s">
        <v>92</v>
      </c>
      <c r="N28" s="6">
        <v>1.5</v>
      </c>
      <c r="O28" s="6"/>
    </row>
    <row r="29" spans="1:15">
      <c r="A29" s="42" t="s">
        <v>0</v>
      </c>
      <c r="B29" s="6">
        <v>0.75</v>
      </c>
      <c r="C29" s="6"/>
      <c r="E29" s="42" t="s">
        <v>0</v>
      </c>
      <c r="F29" s="6">
        <v>0.75</v>
      </c>
      <c r="G29" s="5"/>
      <c r="I29" s="42" t="s">
        <v>0</v>
      </c>
      <c r="J29" s="6">
        <v>0.75</v>
      </c>
      <c r="K29" s="5"/>
      <c r="M29" s="42" t="s">
        <v>0</v>
      </c>
      <c r="N29" s="6">
        <v>0.75</v>
      </c>
      <c r="O29" s="5"/>
    </row>
    <row r="30" spans="1:15">
      <c r="A30" s="42" t="s">
        <v>2</v>
      </c>
      <c r="B30" s="6">
        <v>0.3</v>
      </c>
      <c r="C30" s="6"/>
      <c r="E30" s="42" t="s">
        <v>2</v>
      </c>
      <c r="F30" s="6">
        <v>0.3</v>
      </c>
      <c r="G30" s="5"/>
      <c r="I30" s="42" t="s">
        <v>2</v>
      </c>
      <c r="J30" s="6">
        <v>0.3</v>
      </c>
      <c r="K30" s="5"/>
      <c r="M30" s="42" t="s">
        <v>2</v>
      </c>
      <c r="N30" s="6">
        <v>0.3</v>
      </c>
      <c r="O30" s="5"/>
    </row>
    <row r="31" spans="1:15">
      <c r="A31" s="51" t="s">
        <v>27</v>
      </c>
      <c r="B31" s="6">
        <v>7</v>
      </c>
      <c r="C31" s="6"/>
      <c r="E31" s="51" t="s">
        <v>27</v>
      </c>
      <c r="F31" s="6">
        <v>7</v>
      </c>
      <c r="G31" s="5"/>
      <c r="I31" s="51" t="s">
        <v>27</v>
      </c>
      <c r="J31" s="6">
        <v>7</v>
      </c>
      <c r="K31" s="5"/>
      <c r="M31" s="51" t="s">
        <v>27</v>
      </c>
      <c r="N31" s="6">
        <v>7</v>
      </c>
      <c r="O31" s="5"/>
    </row>
    <row r="32" spans="1:15">
      <c r="A32" s="51" t="s">
        <v>7</v>
      </c>
      <c r="B32" s="6">
        <v>3</v>
      </c>
      <c r="C32" s="6"/>
      <c r="E32" s="51" t="s">
        <v>7</v>
      </c>
      <c r="F32" s="6">
        <v>3</v>
      </c>
      <c r="G32" s="3"/>
      <c r="I32" s="51" t="s">
        <v>7</v>
      </c>
      <c r="J32" s="6">
        <v>3</v>
      </c>
      <c r="K32" s="3"/>
      <c r="M32" s="51" t="s">
        <v>7</v>
      </c>
      <c r="N32" s="6">
        <v>3</v>
      </c>
      <c r="O32" s="3"/>
    </row>
    <row r="33" spans="1:15">
      <c r="A33" s="42" t="s">
        <v>176</v>
      </c>
      <c r="B33" s="6">
        <f>IF(B23&gt;0,CEILING((B24*B25*B28*B29)/1024,4),0)</f>
        <v>0</v>
      </c>
      <c r="C33" s="6"/>
      <c r="E33" s="42" t="s">
        <v>176</v>
      </c>
      <c r="F33" s="6">
        <f>IF(F23&gt;0,CEILING((F24*F25*F28*F29)/1024,4),0)</f>
        <v>0</v>
      </c>
      <c r="G33" s="5"/>
      <c r="I33" s="42" t="s">
        <v>176</v>
      </c>
      <c r="J33" s="6">
        <f>IF(J23&gt;0,CEILING((J24*J25*J28*J29)/1024,4),0)</f>
        <v>0</v>
      </c>
      <c r="K33" s="5"/>
      <c r="M33" s="42" t="s">
        <v>176</v>
      </c>
      <c r="N33" s="6">
        <f>IF(N23&gt;0,CEILING((N24*N25*N28*N29)/1024,4),0)</f>
        <v>0</v>
      </c>
      <c r="O33" s="5"/>
    </row>
    <row r="34" spans="1:15">
      <c r="A34" s="43" t="s">
        <v>71</v>
      </c>
      <c r="B34" s="6">
        <f>IF(B71*B79*B23&gt;B23*B26*B33,B79*B23,B23*B26*B33)</f>
        <v>0</v>
      </c>
      <c r="C34" s="6"/>
      <c r="E34" s="43" t="s">
        <v>71</v>
      </c>
      <c r="F34" s="6">
        <f>IF(F71*F79*F23&gt;F23*F26*F33,F79*F23,F23*F26*F33)</f>
        <v>0</v>
      </c>
      <c r="G34" s="5"/>
      <c r="I34" s="43" t="s">
        <v>71</v>
      </c>
      <c r="J34" s="6">
        <f>IF(J71*J79*J23&gt;J23*J26*J33,J79*J23,J23*J26*J33)</f>
        <v>0</v>
      </c>
      <c r="K34" s="5"/>
      <c r="M34" s="43" t="s">
        <v>71</v>
      </c>
      <c r="N34" s="6">
        <f>IF(N71*N79*N23&gt;N23*N26*N33,N79*N23,N23*N26*N33)</f>
        <v>0</v>
      </c>
      <c r="O34" s="5"/>
    </row>
    <row r="35" spans="1:15">
      <c r="A35" s="43" t="s">
        <v>72</v>
      </c>
      <c r="B35" s="6">
        <f>CEILING((((B24*B25*B28*B30*2)/1024+(B27/8/25)*B31))*B23,4)+F35+J35+N35</f>
        <v>0</v>
      </c>
      <c r="C35" s="6"/>
      <c r="E35" s="43" t="s">
        <v>72</v>
      </c>
      <c r="F35" s="6">
        <f>IF(OR(Overview!$C$2="315/316",Overview!$C$2="316x2"),CEILING((((F24*F25*F28*F30*2)/1024+(F27/8/25)*F31))*F23,4),0)</f>
        <v>0</v>
      </c>
      <c r="G35" s="5"/>
      <c r="I35" s="43" t="s">
        <v>72</v>
      </c>
      <c r="J35" s="6">
        <f>IF(Overview!$C$2="316x2",CEILING((((J24*J25*J28*J30*2)/1024+(J27/8/25)*J31))*J23,4),0)</f>
        <v>0</v>
      </c>
      <c r="K35" s="5"/>
      <c r="M35" s="43" t="s">
        <v>72</v>
      </c>
      <c r="N35" s="6">
        <f>IF(Overview!$C$2="316x2",CEILING((((N24*N25*N28*N30*2)/1024+(N27/8/25)*N31))*N23,4),0)</f>
        <v>0</v>
      </c>
      <c r="O35" s="5"/>
    </row>
    <row r="36" spans="1:15">
      <c r="A36" s="43" t="s">
        <v>178</v>
      </c>
      <c r="B36" s="6">
        <f>IF(B23&gt;0,CEILING((CEILING(B24,64)*CEILING(B25,64)*B28)*1.06/1024, 4),0)</f>
        <v>0</v>
      </c>
      <c r="C36" s="6"/>
      <c r="E36" s="43" t="s">
        <v>178</v>
      </c>
      <c r="F36" s="6">
        <f>IF(F23&gt;0,CEILING((CEILING(F24,64)*CEILING(F25,64)*F28)*1.06/1024, 4),0)</f>
        <v>0</v>
      </c>
      <c r="G36" s="5"/>
      <c r="I36" s="43" t="s">
        <v>178</v>
      </c>
      <c r="J36" s="6">
        <f>IF(J23&gt;0,CEILING((CEILING(J24,64)*CEILING(J25,64)*J28)*1.06/1024, 4),0)</f>
        <v>0</v>
      </c>
      <c r="K36" s="5"/>
      <c r="M36" s="43" t="s">
        <v>178</v>
      </c>
      <c r="N36" s="6">
        <f>IF(N23&gt;0,CEILING((CEILING(N24,64)*CEILING(N25,64)*N28)*1.06/1024, 4),0)</f>
        <v>0</v>
      </c>
      <c r="O36" s="5"/>
    </row>
    <row r="37" spans="1:15">
      <c r="A37" s="78" t="s">
        <v>179</v>
      </c>
      <c r="B37" s="6">
        <f>B23*B32</f>
        <v>0</v>
      </c>
      <c r="C37" s="6"/>
      <c r="E37" s="78" t="s">
        <v>179</v>
      </c>
      <c r="F37" s="6">
        <f>F23*F32</f>
        <v>0</v>
      </c>
      <c r="G37" s="5"/>
      <c r="I37" s="78" t="s">
        <v>179</v>
      </c>
      <c r="J37" s="6">
        <f>J23*J32</f>
        <v>0</v>
      </c>
      <c r="K37" s="5"/>
      <c r="M37" s="78" t="s">
        <v>179</v>
      </c>
      <c r="N37" s="6">
        <f>N23*N32</f>
        <v>0</v>
      </c>
      <c r="O37" s="5"/>
    </row>
    <row r="38" spans="1:15">
      <c r="A38" s="127" t="s">
        <v>226</v>
      </c>
      <c r="B38" s="6">
        <f>IF(B23&gt;0,CEILING((CEILING(B24,64)*CEILING(B25,64)*B28)*C38/1024, 4),0)</f>
        <v>0</v>
      </c>
      <c r="C38" s="6">
        <f>IF(Overview!C2="321",0.76,1.06)</f>
        <v>0.76</v>
      </c>
      <c r="E38" s="127" t="s">
        <v>226</v>
      </c>
      <c r="F38" s="6">
        <f>IF(F23&gt;0,CEILING((CEILING(F24,64)*CEILING(F25,64)*F28)*G38/1024, 4),0)</f>
        <v>0</v>
      </c>
      <c r="G38" s="6">
        <f>IF(Overview!G2="321",0.76,1.06)</f>
        <v>1.06</v>
      </c>
      <c r="I38" s="127" t="s">
        <v>226</v>
      </c>
      <c r="J38" s="6">
        <f>IF(J23&gt;0,CEILING((CEILING(J24,64)*CEILING(J25,64)*J28)*K38/1024, 4),0)</f>
        <v>0</v>
      </c>
      <c r="K38" s="6">
        <f>IF(Overview!K2="321",0.76,1.06)</f>
        <v>1.06</v>
      </c>
      <c r="M38" s="127" t="s">
        <v>226</v>
      </c>
      <c r="N38" s="6">
        <f>IF(N23&gt;0,CEILING((CEILING(N24,64)*CEILING(N25,64)*N28)*O38/1024, 4),0)</f>
        <v>0</v>
      </c>
      <c r="O38" s="6">
        <f>IF(Overview!O2="321",0.76,1.06)</f>
        <v>1.06</v>
      </c>
    </row>
    <row r="39" spans="1:15">
      <c r="A39" s="127" t="s">
        <v>227</v>
      </c>
      <c r="B39" s="6">
        <f>B23</f>
        <v>0</v>
      </c>
      <c r="C39" s="6"/>
      <c r="E39" s="127" t="s">
        <v>227</v>
      </c>
      <c r="F39" s="6">
        <f>F23</f>
        <v>0</v>
      </c>
      <c r="G39" s="5"/>
      <c r="I39" s="127" t="s">
        <v>227</v>
      </c>
      <c r="J39" s="6">
        <f>J23</f>
        <v>0</v>
      </c>
      <c r="K39" s="5"/>
      <c r="M39" s="127" t="s">
        <v>227</v>
      </c>
      <c r="N39" s="6">
        <f>N23</f>
        <v>0</v>
      </c>
      <c r="O39" s="5"/>
    </row>
    <row r="40" spans="1:15">
      <c r="F40" s="4"/>
      <c r="J40" s="4"/>
      <c r="N40" s="4"/>
    </row>
    <row r="41" spans="1:15">
      <c r="A41" s="48" t="s">
        <v>84</v>
      </c>
      <c r="B41" s="49" t="s">
        <v>70</v>
      </c>
      <c r="C41" s="49" t="s">
        <v>78</v>
      </c>
      <c r="E41" s="48" t="s">
        <v>84</v>
      </c>
      <c r="F41" s="49" t="s">
        <v>70</v>
      </c>
      <c r="G41" s="49" t="s">
        <v>78</v>
      </c>
      <c r="I41" s="48" t="s">
        <v>84</v>
      </c>
      <c r="J41" s="49" t="s">
        <v>70</v>
      </c>
      <c r="K41" s="49" t="s">
        <v>78</v>
      </c>
      <c r="M41" s="48" t="s">
        <v>84</v>
      </c>
      <c r="N41" s="49" t="s">
        <v>70</v>
      </c>
      <c r="O41" s="49" t="s">
        <v>78</v>
      </c>
    </row>
    <row r="42" spans="1:15">
      <c r="A42" s="42" t="s">
        <v>6</v>
      </c>
      <c r="B42" s="6">
        <f>Overview!C34</f>
        <v>2</v>
      </c>
      <c r="C42" s="6"/>
      <c r="E42" s="42" t="s">
        <v>6</v>
      </c>
      <c r="F42" s="6">
        <f>Overview!G34</f>
        <v>8</v>
      </c>
      <c r="G42" s="5"/>
      <c r="I42" s="42" t="s">
        <v>6</v>
      </c>
      <c r="J42" s="6">
        <f>Overview!K34</f>
        <v>4</v>
      </c>
      <c r="K42" s="5"/>
      <c r="M42" s="42" t="s">
        <v>6</v>
      </c>
      <c r="N42" s="6">
        <f>Overview!O34</f>
        <v>4</v>
      </c>
      <c r="O42" s="5"/>
    </row>
    <row r="43" spans="1:15">
      <c r="A43" s="42" t="s">
        <v>73</v>
      </c>
      <c r="B43" s="6">
        <f>CEILING(Overview!C35,16)</f>
        <v>960</v>
      </c>
      <c r="C43" s="6"/>
      <c r="E43" s="42" t="s">
        <v>73</v>
      </c>
      <c r="F43" s="6">
        <f>CEILING(Overview!G35,16)</f>
        <v>960</v>
      </c>
      <c r="G43" s="5"/>
      <c r="I43" s="42" t="s">
        <v>73</v>
      </c>
      <c r="J43" s="6">
        <f>CEILING(Overview!K35,16)</f>
        <v>960</v>
      </c>
      <c r="K43" s="5"/>
      <c r="M43" s="42" t="s">
        <v>73</v>
      </c>
      <c r="N43" s="6">
        <f>CEILING(Overview!O35,16)</f>
        <v>960</v>
      </c>
      <c r="O43" s="5"/>
    </row>
    <row r="44" spans="1:15">
      <c r="A44" s="42" t="s">
        <v>74</v>
      </c>
      <c r="B44" s="6">
        <f>CEILING(Overview!C36,16)</f>
        <v>576</v>
      </c>
      <c r="C44" s="6"/>
      <c r="E44" s="42" t="s">
        <v>74</v>
      </c>
      <c r="F44" s="6">
        <f>CEILING(Overview!G36,16)</f>
        <v>576</v>
      </c>
      <c r="G44" s="5"/>
      <c r="I44" s="42" t="s">
        <v>74</v>
      </c>
      <c r="J44" s="6">
        <f>CEILING(Overview!K36,16)</f>
        <v>576</v>
      </c>
      <c r="K44" s="5"/>
      <c r="M44" s="42" t="s">
        <v>74</v>
      </c>
      <c r="N44" s="6">
        <f>CEILING(Overview!O36,16)</f>
        <v>576</v>
      </c>
      <c r="O44" s="5"/>
    </row>
    <row r="45" spans="1:15">
      <c r="A45" s="42" t="s">
        <v>4</v>
      </c>
      <c r="B45" s="6">
        <f>Overview!C37</f>
        <v>2</v>
      </c>
      <c r="C45" s="6"/>
      <c r="E45" s="42" t="s">
        <v>4</v>
      </c>
      <c r="F45" s="6">
        <f>Overview!G37</f>
        <v>2</v>
      </c>
      <c r="G45" s="5"/>
      <c r="I45" s="42" t="s">
        <v>4</v>
      </c>
      <c r="J45" s="6">
        <f>Overview!K37</f>
        <v>4</v>
      </c>
      <c r="K45" s="5"/>
      <c r="M45" s="42" t="s">
        <v>4</v>
      </c>
      <c r="N45" s="6">
        <f>Overview!O37</f>
        <v>4</v>
      </c>
      <c r="O45" s="5"/>
    </row>
    <row r="46" spans="1:15">
      <c r="A46" s="42" t="s">
        <v>75</v>
      </c>
      <c r="B46" s="6">
        <v>4096</v>
      </c>
      <c r="C46" s="6"/>
      <c r="E46" s="42" t="s">
        <v>75</v>
      </c>
      <c r="F46" s="6">
        <v>4096</v>
      </c>
      <c r="G46" s="5"/>
      <c r="I46" s="42" t="s">
        <v>75</v>
      </c>
      <c r="J46" s="6">
        <v>4096</v>
      </c>
      <c r="K46" s="5"/>
      <c r="M46" s="42" t="s">
        <v>75</v>
      </c>
      <c r="N46" s="6">
        <v>4096</v>
      </c>
      <c r="O46" s="5"/>
    </row>
    <row r="47" spans="1:15">
      <c r="A47" s="42" t="s">
        <v>92</v>
      </c>
      <c r="B47" s="6">
        <v>1.5</v>
      </c>
      <c r="C47" s="6"/>
      <c r="E47" s="42" t="s">
        <v>92</v>
      </c>
      <c r="F47" s="6">
        <v>1.5</v>
      </c>
      <c r="G47" s="6"/>
      <c r="I47" s="42" t="s">
        <v>92</v>
      </c>
      <c r="J47" s="6">
        <v>1.5</v>
      </c>
      <c r="K47" s="6"/>
      <c r="M47" s="42" t="s">
        <v>92</v>
      </c>
      <c r="N47" s="6">
        <v>1.5</v>
      </c>
      <c r="O47" s="6"/>
    </row>
    <row r="48" spans="1:15">
      <c r="A48" s="42" t="s">
        <v>0</v>
      </c>
      <c r="B48" s="6">
        <v>0.75</v>
      </c>
      <c r="C48" s="6"/>
      <c r="E48" s="42" t="s">
        <v>0</v>
      </c>
      <c r="F48" s="6">
        <v>0.75</v>
      </c>
      <c r="G48" s="5"/>
      <c r="I48" s="42" t="s">
        <v>0</v>
      </c>
      <c r="J48" s="6">
        <v>0.75</v>
      </c>
      <c r="K48" s="5"/>
      <c r="M48" s="42" t="s">
        <v>0</v>
      </c>
      <c r="N48" s="6">
        <v>0.75</v>
      </c>
      <c r="O48" s="5"/>
    </row>
    <row r="49" spans="1:15">
      <c r="A49" s="42" t="s">
        <v>2</v>
      </c>
      <c r="B49" s="6">
        <v>0.3</v>
      </c>
      <c r="C49" s="6"/>
      <c r="E49" s="42" t="s">
        <v>2</v>
      </c>
      <c r="F49" s="6">
        <v>0.3</v>
      </c>
      <c r="G49" s="5"/>
      <c r="I49" s="42" t="s">
        <v>2</v>
      </c>
      <c r="J49" s="6">
        <v>0.3</v>
      </c>
      <c r="K49" s="5"/>
      <c r="M49" s="42" t="s">
        <v>2</v>
      </c>
      <c r="N49" s="6">
        <v>0.3</v>
      </c>
      <c r="O49" s="5"/>
    </row>
    <row r="50" spans="1:15">
      <c r="A50" s="51" t="s">
        <v>27</v>
      </c>
      <c r="B50" s="6">
        <v>7</v>
      </c>
      <c r="C50" s="6"/>
      <c r="E50" s="51" t="s">
        <v>27</v>
      </c>
      <c r="F50" s="6">
        <v>7</v>
      </c>
      <c r="G50" s="5"/>
      <c r="I50" s="51" t="s">
        <v>27</v>
      </c>
      <c r="J50" s="6">
        <v>7</v>
      </c>
      <c r="K50" s="5"/>
      <c r="M50" s="51" t="s">
        <v>27</v>
      </c>
      <c r="N50" s="6">
        <v>7</v>
      </c>
      <c r="O50" s="5"/>
    </row>
    <row r="51" spans="1:15">
      <c r="A51" s="51" t="s">
        <v>7</v>
      </c>
      <c r="B51" s="6">
        <v>3</v>
      </c>
      <c r="C51" s="6"/>
      <c r="E51" s="51" t="s">
        <v>7</v>
      </c>
      <c r="F51" s="6">
        <v>3</v>
      </c>
      <c r="G51" s="3"/>
      <c r="I51" s="51" t="s">
        <v>7</v>
      </c>
      <c r="J51" s="6">
        <v>3</v>
      </c>
      <c r="K51" s="3"/>
      <c r="M51" s="51" t="s">
        <v>7</v>
      </c>
      <c r="N51" s="6">
        <v>3</v>
      </c>
      <c r="O51" s="3"/>
    </row>
    <row r="52" spans="1:15">
      <c r="A52" s="42" t="s">
        <v>176</v>
      </c>
      <c r="B52" s="6">
        <f>IF(B42&gt;0,CEILING((B43*B44*B47*B48)/1024,4),0)</f>
        <v>608</v>
      </c>
      <c r="C52" s="6"/>
      <c r="E52" s="42" t="s">
        <v>176</v>
      </c>
      <c r="F52" s="6">
        <f>IF(F42&gt;0,CEILING((F43*F44*F47*F48)/1024,4),0)</f>
        <v>608</v>
      </c>
      <c r="G52" s="5"/>
      <c r="I52" s="42" t="s">
        <v>176</v>
      </c>
      <c r="J52" s="6">
        <f>IF(J42&gt;0,CEILING((J43*J44*J47*J48)/1024,4),0)</f>
        <v>608</v>
      </c>
      <c r="K52" s="5"/>
      <c r="M52" s="42" t="s">
        <v>176</v>
      </c>
      <c r="N52" s="6">
        <f>IF(N42&gt;0,CEILING((N43*N44*N47*N48)/1024,4),0)</f>
        <v>608</v>
      </c>
      <c r="O52" s="5"/>
    </row>
    <row r="53" spans="1:15">
      <c r="A53" s="43" t="s">
        <v>71</v>
      </c>
      <c r="B53" s="6">
        <f>IF(B71*B79*B42&gt;B42*B45*B52,B79*B42,B42*B45*B52)</f>
        <v>6750</v>
      </c>
      <c r="C53" s="6"/>
      <c r="E53" s="43" t="s">
        <v>71</v>
      </c>
      <c r="F53" s="6">
        <f>IF(F71*F79*F42&gt;F42*F45*F52,F79*F42,F42*F45*F52)</f>
        <v>30240</v>
      </c>
      <c r="G53" s="5"/>
      <c r="I53" s="43" t="s">
        <v>71</v>
      </c>
      <c r="J53" s="6">
        <f>IF(J71*J79*J42&gt;J42*J45*J52,J79*J42,J42*J45*J52)</f>
        <v>15120</v>
      </c>
      <c r="K53" s="5"/>
      <c r="M53" s="43" t="s">
        <v>71</v>
      </c>
      <c r="N53" s="6">
        <f>IF(N71*N79*N42&gt;N42*N45*N52,N79*N42,N42*N45*N52)</f>
        <v>15120</v>
      </c>
      <c r="O53" s="5"/>
    </row>
    <row r="54" spans="1:15">
      <c r="A54" s="43" t="s">
        <v>72</v>
      </c>
      <c r="B54" s="6">
        <f>CEILING((((B43*B44*B47*B49*2)/1024+(B46/8/25)*B50))*B42,4)+F54+J54+N54</f>
        <v>1260</v>
      </c>
      <c r="C54" s="6"/>
      <c r="E54" s="43" t="s">
        <v>72</v>
      </c>
      <c r="F54" s="6">
        <f>IF(OR(Overview!$C$2="315/316",Overview!$C$2="316x2"),CEILING((((F43*F44*F47*F49*2)/1024+(F46/8/25)*F50))*F42,4),0)</f>
        <v>0</v>
      </c>
      <c r="G54" s="5"/>
      <c r="I54" s="43" t="s">
        <v>72</v>
      </c>
      <c r="J54" s="6">
        <f>IF(Overview!$C$2="316x2",CEILING((((J43*J44*J47*J49*2)/1024+(J46/8/25)*J50))*J42,4),0)</f>
        <v>0</v>
      </c>
      <c r="K54" s="5"/>
      <c r="M54" s="43" t="s">
        <v>72</v>
      </c>
      <c r="N54" s="6">
        <f>IF(Overview!$C$2="316x2",CEILING((((N43*N44*N47*N49*2)/1024+(N46/8/25)*N50))*N42,4),0)</f>
        <v>0</v>
      </c>
      <c r="O54" s="5"/>
    </row>
    <row r="55" spans="1:15">
      <c r="A55" s="43" t="s">
        <v>178</v>
      </c>
      <c r="B55" s="6">
        <f>IF(B42&gt;0,CEILING((CEILING(B43,64)*CEILING(B44,64)*B47)*1.06/1024, 4),0)</f>
        <v>860</v>
      </c>
      <c r="C55" s="6"/>
      <c r="E55" s="43" t="s">
        <v>178</v>
      </c>
      <c r="F55" s="6">
        <f>IF(F42&gt;0,CEILING((CEILING(F43,64)*CEILING(F44,64)*F47)*1.06/1024, 4),0)</f>
        <v>860</v>
      </c>
      <c r="G55" s="5"/>
      <c r="I55" s="43" t="s">
        <v>178</v>
      </c>
      <c r="J55" s="6">
        <f>IF(J42&gt;0,CEILING((CEILING(J43,64)*CEILING(J44,64)*J47)*1.06/1024, 4),0)</f>
        <v>860</v>
      </c>
      <c r="K55" s="5"/>
      <c r="M55" s="43" t="s">
        <v>178</v>
      </c>
      <c r="N55" s="6">
        <f>IF(N42&gt;0,CEILING((CEILING(N43,64)*CEILING(N44,64)*N47)*1.06/1024, 4),0)</f>
        <v>860</v>
      </c>
      <c r="O55" s="5"/>
    </row>
    <row r="56" spans="1:15">
      <c r="A56" s="78" t="s">
        <v>179</v>
      </c>
      <c r="B56" s="6">
        <f>B42*B51</f>
        <v>6</v>
      </c>
      <c r="C56" s="6"/>
      <c r="E56" s="78" t="s">
        <v>179</v>
      </c>
      <c r="F56" s="6">
        <f>F42*F51</f>
        <v>24</v>
      </c>
      <c r="G56" s="5"/>
      <c r="I56" s="78" t="s">
        <v>179</v>
      </c>
      <c r="J56" s="6">
        <f>J42*J51</f>
        <v>12</v>
      </c>
      <c r="K56" s="5"/>
      <c r="M56" s="78" t="s">
        <v>179</v>
      </c>
      <c r="N56" s="6">
        <f>N42*N51</f>
        <v>12</v>
      </c>
      <c r="O56" s="5"/>
    </row>
    <row r="57" spans="1:15">
      <c r="A57" s="127" t="s">
        <v>226</v>
      </c>
      <c r="B57" s="6">
        <f>IF(B42&gt;0,CEILING((CEILING(B43,64)*CEILING(B44,64)*B47)*C57/1024, 4),0)</f>
        <v>616</v>
      </c>
      <c r="C57" s="6">
        <f>IF(Overview!C2="321",0.76,1.06)</f>
        <v>0.76</v>
      </c>
      <c r="E57" s="127" t="s">
        <v>226</v>
      </c>
      <c r="F57" s="6">
        <f>IF(F42&gt;0,CEILING((CEILING(F43,64)*CEILING(F44,64)*F47)*G57/1024, 4),0)</f>
        <v>860</v>
      </c>
      <c r="G57" s="6">
        <f>IF(Overview!G2="321",0.76,1.06)</f>
        <v>1.06</v>
      </c>
      <c r="I57" s="127" t="s">
        <v>226</v>
      </c>
      <c r="J57" s="6">
        <f>IF(J42&gt;0,CEILING((CEILING(J43,64)*CEILING(J44,64)*J47)*K57/1024, 4),0)</f>
        <v>860</v>
      </c>
      <c r="K57" s="6">
        <f>IF(Overview!K2="321",0.76,1.06)</f>
        <v>1.06</v>
      </c>
      <c r="M57" s="127" t="s">
        <v>226</v>
      </c>
      <c r="N57" s="6">
        <f>IF(N42&gt;0,CEILING((CEILING(N43,64)*CEILING(N44,64)*N47)*O57/1024, 4),0)</f>
        <v>860</v>
      </c>
      <c r="O57" s="6">
        <f>IF(Overview!O2="321",0.76,1.06)</f>
        <v>1.06</v>
      </c>
    </row>
    <row r="58" spans="1:15">
      <c r="A58" s="127" t="s">
        <v>227</v>
      </c>
      <c r="B58" s="6">
        <f>B42</f>
        <v>2</v>
      </c>
      <c r="C58" s="6"/>
      <c r="E58" s="127" t="s">
        <v>227</v>
      </c>
      <c r="F58" s="6">
        <f>F42</f>
        <v>8</v>
      </c>
      <c r="G58" s="5"/>
      <c r="I58" s="127" t="s">
        <v>227</v>
      </c>
      <c r="J58" s="6">
        <f>J42</f>
        <v>4</v>
      </c>
      <c r="K58" s="5"/>
      <c r="M58" s="127" t="s">
        <v>227</v>
      </c>
      <c r="N58" s="6">
        <f>N42</f>
        <v>4</v>
      </c>
      <c r="O58" s="5"/>
    </row>
    <row r="59" spans="1:15">
      <c r="A59" s="63"/>
      <c r="B59" s="7"/>
      <c r="C59" s="7"/>
      <c r="E59" s="63"/>
      <c r="F59" s="7"/>
      <c r="G59" s="94"/>
      <c r="I59" s="63"/>
      <c r="J59" s="7"/>
      <c r="K59" s="94"/>
      <c r="M59" s="63"/>
      <c r="N59" s="7"/>
      <c r="O59" s="94"/>
    </row>
    <row r="60" spans="1:15">
      <c r="A60" s="52" t="s">
        <v>198</v>
      </c>
      <c r="B60" s="53" t="s">
        <v>1</v>
      </c>
      <c r="C60" s="53" t="s">
        <v>78</v>
      </c>
      <c r="E60" s="52" t="s">
        <v>198</v>
      </c>
      <c r="F60" s="53" t="s">
        <v>1</v>
      </c>
      <c r="G60" s="53" t="s">
        <v>78</v>
      </c>
      <c r="I60" s="52" t="s">
        <v>198</v>
      </c>
      <c r="J60" s="53" t="s">
        <v>1</v>
      </c>
      <c r="K60" s="53" t="s">
        <v>78</v>
      </c>
      <c r="M60" s="52" t="s">
        <v>198</v>
      </c>
      <c r="N60" s="53" t="s">
        <v>1</v>
      </c>
      <c r="O60" s="53" t="s">
        <v>78</v>
      </c>
    </row>
    <row r="61" spans="1:15">
      <c r="A61" s="54" t="s">
        <v>6</v>
      </c>
      <c r="B61" s="6">
        <f>Overview!C38</f>
        <v>0</v>
      </c>
      <c r="C61" s="6"/>
      <c r="E61" s="54" t="s">
        <v>6</v>
      </c>
      <c r="F61" s="6">
        <f>Overview!G38</f>
        <v>0</v>
      </c>
      <c r="G61" s="5"/>
      <c r="I61" s="54" t="s">
        <v>6</v>
      </c>
      <c r="J61" s="6">
        <f>Overview!K38</f>
        <v>0</v>
      </c>
      <c r="K61" s="5"/>
      <c r="M61" s="54" t="s">
        <v>6</v>
      </c>
      <c r="N61" s="6">
        <f>Overview!O38</f>
        <v>0</v>
      </c>
      <c r="O61" s="5"/>
    </row>
    <row r="62" spans="1:15">
      <c r="A62" s="54" t="s">
        <v>73</v>
      </c>
      <c r="B62" s="6">
        <f>Overview!C39</f>
        <v>720</v>
      </c>
      <c r="C62" s="6"/>
      <c r="E62" s="54" t="s">
        <v>73</v>
      </c>
      <c r="F62" s="6">
        <f>Overview!G39</f>
        <v>720</v>
      </c>
      <c r="G62" s="5"/>
      <c r="I62" s="54" t="s">
        <v>73</v>
      </c>
      <c r="J62" s="6">
        <f>Overview!K39</f>
        <v>720</v>
      </c>
      <c r="K62" s="5"/>
      <c r="M62" s="54" t="s">
        <v>73</v>
      </c>
      <c r="N62" s="6">
        <f>Overview!O39</f>
        <v>720</v>
      </c>
      <c r="O62" s="5"/>
    </row>
    <row r="63" spans="1:15">
      <c r="A63" s="54" t="s">
        <v>74</v>
      </c>
      <c r="B63" s="6">
        <f>Overview!C40</f>
        <v>576</v>
      </c>
      <c r="C63" s="6"/>
      <c r="E63" s="54" t="s">
        <v>74</v>
      </c>
      <c r="F63" s="6">
        <f>Overview!G40</f>
        <v>576</v>
      </c>
      <c r="G63" s="5"/>
      <c r="I63" s="54" t="s">
        <v>74</v>
      </c>
      <c r="J63" s="6">
        <f>Overview!K40</f>
        <v>576</v>
      </c>
      <c r="K63" s="5"/>
      <c r="M63" s="54" t="s">
        <v>74</v>
      </c>
      <c r="N63" s="6">
        <f>Overview!O40</f>
        <v>576</v>
      </c>
      <c r="O63" s="5"/>
    </row>
    <row r="64" spans="1:15">
      <c r="A64" s="54" t="s">
        <v>4</v>
      </c>
      <c r="B64" s="6">
        <f>Overview!C41</f>
        <v>2</v>
      </c>
      <c r="C64" s="6"/>
      <c r="E64" s="54" t="s">
        <v>4</v>
      </c>
      <c r="F64" s="6">
        <f>Overview!G41</f>
        <v>2</v>
      </c>
      <c r="G64" s="5"/>
      <c r="I64" s="54" t="s">
        <v>4</v>
      </c>
      <c r="J64" s="6">
        <f>Overview!K41</f>
        <v>2</v>
      </c>
      <c r="K64" s="5"/>
      <c r="M64" s="54" t="s">
        <v>4</v>
      </c>
      <c r="N64" s="6">
        <f>Overview!O41</f>
        <v>2</v>
      </c>
      <c r="O64" s="5"/>
    </row>
    <row r="65" spans="1:15">
      <c r="A65" s="54" t="s">
        <v>92</v>
      </c>
      <c r="B65" s="6">
        <v>1.5</v>
      </c>
      <c r="C65" s="6"/>
      <c r="E65" s="54" t="s">
        <v>92</v>
      </c>
      <c r="F65" s="6">
        <v>1.5</v>
      </c>
      <c r="G65" s="5"/>
      <c r="I65" s="54" t="s">
        <v>92</v>
      </c>
      <c r="J65" s="6">
        <v>1.5</v>
      </c>
      <c r="K65" s="5"/>
      <c r="M65" s="54" t="s">
        <v>92</v>
      </c>
      <c r="N65" s="6">
        <v>1.5</v>
      </c>
      <c r="O65" s="5"/>
    </row>
    <row r="66" spans="1:15">
      <c r="A66" s="54" t="s">
        <v>0</v>
      </c>
      <c r="B66" s="6">
        <v>0.75</v>
      </c>
      <c r="C66" s="6"/>
      <c r="E66" s="54" t="s">
        <v>0</v>
      </c>
      <c r="F66" s="6">
        <v>0.75</v>
      </c>
      <c r="G66" s="5"/>
      <c r="I66" s="54" t="s">
        <v>0</v>
      </c>
      <c r="J66" s="6">
        <v>0.75</v>
      </c>
      <c r="K66" s="5"/>
      <c r="M66" s="54" t="s">
        <v>0</v>
      </c>
      <c r="N66" s="6">
        <v>0.75</v>
      </c>
      <c r="O66" s="5"/>
    </row>
    <row r="67" spans="1:15">
      <c r="A67" s="42" t="s">
        <v>230</v>
      </c>
      <c r="B67" s="6">
        <f>IF(B61&gt;0,CEILING((B62*B63*B65*B66)/1024,4),0)</f>
        <v>0</v>
      </c>
      <c r="C67" s="6"/>
      <c r="E67" s="42" t="s">
        <v>230</v>
      </c>
      <c r="F67" s="6">
        <f>IF(F61&gt;0,CEILING((F62*F63*F65*F66)/1024,4),0)</f>
        <v>0</v>
      </c>
      <c r="G67" s="5"/>
      <c r="I67" s="42" t="s">
        <v>230</v>
      </c>
      <c r="J67" s="6">
        <f>IF(J61&gt;0,CEILING((J62*J63*J65*J66)/1024,4),0)</f>
        <v>0</v>
      </c>
      <c r="K67" s="5"/>
      <c r="M67" s="42" t="s">
        <v>230</v>
      </c>
      <c r="N67" s="6">
        <f>IF(N61&gt;0,CEILING((N62*N63*N65*N66)/1024,4),0)</f>
        <v>0</v>
      </c>
      <c r="O67" s="5"/>
    </row>
    <row r="68" spans="1:15">
      <c r="A68" s="80" t="s">
        <v>195</v>
      </c>
      <c r="B68" s="6">
        <f>IF(B90*B98*B61&gt;B61*B64*B67,B98*B61,B61*B64*B67)</f>
        <v>0</v>
      </c>
      <c r="C68" s="6"/>
      <c r="E68" s="127" t="s">
        <v>195</v>
      </c>
      <c r="F68" s="6">
        <f>IF(F90*F98*F61&gt;F61*F64*F67,F98*F61,F61*F64*F67)</f>
        <v>0</v>
      </c>
      <c r="G68" s="5"/>
      <c r="I68" s="127" t="s">
        <v>195</v>
      </c>
      <c r="J68" s="6">
        <f>IF(J90*J98*J61&gt;J61*J64*J67,J98*J61,J61*J64*J67)</f>
        <v>0</v>
      </c>
      <c r="K68" s="5"/>
      <c r="M68" s="127" t="s">
        <v>195</v>
      </c>
      <c r="N68" s="6">
        <f>IF(N90*N98*N61&gt;N61*N64*N67,N98*N61,N61*N64*N67)</f>
        <v>0</v>
      </c>
      <c r="O68" s="5"/>
    </row>
    <row r="70" spans="1:15">
      <c r="A70" s="52" t="s">
        <v>89</v>
      </c>
      <c r="B70" s="53" t="s">
        <v>70</v>
      </c>
      <c r="C70" s="53" t="s">
        <v>78</v>
      </c>
      <c r="E70" s="52" t="s">
        <v>89</v>
      </c>
      <c r="F70" s="53" t="s">
        <v>1</v>
      </c>
      <c r="G70" s="53" t="s">
        <v>78</v>
      </c>
      <c r="I70" s="52" t="s">
        <v>89</v>
      </c>
      <c r="J70" s="53" t="s">
        <v>1</v>
      </c>
      <c r="K70" s="53" t="s">
        <v>78</v>
      </c>
      <c r="M70" s="52" t="s">
        <v>89</v>
      </c>
      <c r="N70" s="53" t="s">
        <v>1</v>
      </c>
      <c r="O70" s="53" t="s">
        <v>78</v>
      </c>
    </row>
    <row r="71" spans="1:15">
      <c r="A71" s="54" t="s">
        <v>107</v>
      </c>
      <c r="B71" s="6">
        <v>1</v>
      </c>
      <c r="C71" s="6"/>
      <c r="E71" s="109" t="s">
        <v>107</v>
      </c>
      <c r="F71" s="6">
        <v>1</v>
      </c>
      <c r="G71" s="5"/>
      <c r="I71" s="109" t="s">
        <v>107</v>
      </c>
      <c r="J71" s="6">
        <v>1</v>
      </c>
      <c r="K71" s="5"/>
      <c r="M71" s="109" t="s">
        <v>107</v>
      </c>
      <c r="N71" s="6">
        <v>1</v>
      </c>
      <c r="O71" s="5"/>
    </row>
    <row r="72" spans="1:15">
      <c r="A72" s="54" t="s">
        <v>73</v>
      </c>
      <c r="B72" s="6">
        <v>960</v>
      </c>
      <c r="C72" s="6"/>
      <c r="E72" s="109" t="s">
        <v>73</v>
      </c>
      <c r="F72" s="6">
        <v>960</v>
      </c>
      <c r="G72" s="5"/>
      <c r="I72" s="109" t="s">
        <v>73</v>
      </c>
      <c r="J72" s="6">
        <v>960</v>
      </c>
      <c r="K72" s="5"/>
      <c r="M72" s="109" t="s">
        <v>73</v>
      </c>
      <c r="N72" s="6">
        <v>960</v>
      </c>
      <c r="O72" s="5"/>
    </row>
    <row r="73" spans="1:15">
      <c r="A73" s="54" t="s">
        <v>74</v>
      </c>
      <c r="B73" s="6">
        <v>576</v>
      </c>
      <c r="C73" s="6"/>
      <c r="E73" s="109" t="s">
        <v>74</v>
      </c>
      <c r="F73" s="6">
        <v>576</v>
      </c>
      <c r="G73" s="5"/>
      <c r="I73" s="109" t="s">
        <v>74</v>
      </c>
      <c r="J73" s="6">
        <v>576</v>
      </c>
      <c r="K73" s="5"/>
      <c r="M73" s="109" t="s">
        <v>74</v>
      </c>
      <c r="N73" s="6">
        <v>576</v>
      </c>
      <c r="O73" s="5"/>
    </row>
    <row r="74" spans="1:15">
      <c r="A74" s="54" t="s">
        <v>90</v>
      </c>
      <c r="B74" s="6">
        <v>2</v>
      </c>
      <c r="C74" s="6"/>
      <c r="E74" s="109" t="s">
        <v>90</v>
      </c>
      <c r="F74" s="6">
        <v>2</v>
      </c>
      <c r="G74" s="5"/>
      <c r="I74" s="109" t="s">
        <v>90</v>
      </c>
      <c r="J74" s="6">
        <v>2</v>
      </c>
      <c r="K74" s="5"/>
      <c r="M74" s="109" t="s">
        <v>90</v>
      </c>
      <c r="N74" s="6">
        <v>2</v>
      </c>
      <c r="O74" s="5"/>
    </row>
    <row r="75" spans="1:15">
      <c r="A75" s="54" t="s">
        <v>91</v>
      </c>
      <c r="B75" s="6">
        <v>2</v>
      </c>
      <c r="C75" s="6"/>
      <c r="E75" s="109" t="s">
        <v>91</v>
      </c>
      <c r="F75" s="6">
        <v>2</v>
      </c>
      <c r="G75" s="5"/>
      <c r="I75" s="109" t="s">
        <v>91</v>
      </c>
      <c r="J75" s="6">
        <v>2</v>
      </c>
      <c r="K75" s="5"/>
      <c r="M75" s="109" t="s">
        <v>91</v>
      </c>
      <c r="N75" s="6">
        <v>2</v>
      </c>
      <c r="O75" s="5"/>
    </row>
    <row r="76" spans="1:15">
      <c r="A76" s="54" t="s">
        <v>93</v>
      </c>
      <c r="B76" s="6">
        <v>2</v>
      </c>
      <c r="C76" s="6"/>
      <c r="E76" s="109" t="s">
        <v>93</v>
      </c>
      <c r="F76" s="6">
        <v>2</v>
      </c>
      <c r="G76" s="5"/>
      <c r="I76" s="109" t="s">
        <v>93</v>
      </c>
      <c r="J76" s="6">
        <v>2</v>
      </c>
      <c r="K76" s="5"/>
      <c r="M76" s="109" t="s">
        <v>93</v>
      </c>
      <c r="N76" s="6">
        <v>2</v>
      </c>
      <c r="O76" s="5"/>
    </row>
    <row r="77" spans="1:15">
      <c r="A77" s="54" t="s">
        <v>94</v>
      </c>
      <c r="B77" s="6">
        <v>1.5</v>
      </c>
      <c r="C77" s="6"/>
      <c r="E77" s="109" t="s">
        <v>94</v>
      </c>
      <c r="F77" s="6">
        <v>1.5</v>
      </c>
      <c r="G77" s="5"/>
      <c r="I77" s="109" t="s">
        <v>94</v>
      </c>
      <c r="J77" s="6">
        <v>1.5</v>
      </c>
      <c r="K77" s="5"/>
      <c r="M77" s="109" t="s">
        <v>94</v>
      </c>
      <c r="N77" s="6">
        <v>1.5</v>
      </c>
      <c r="O77" s="5"/>
    </row>
    <row r="78" spans="1:15">
      <c r="A78" s="54" t="s">
        <v>95</v>
      </c>
      <c r="B78" s="6">
        <f>IF(Overview!C2="321",0.75,1)</f>
        <v>0.75</v>
      </c>
      <c r="C78" s="6"/>
      <c r="E78" s="109" t="s">
        <v>95</v>
      </c>
      <c r="F78" s="6">
        <v>1</v>
      </c>
      <c r="G78" s="5"/>
      <c r="I78" s="109" t="s">
        <v>95</v>
      </c>
      <c r="J78" s="6">
        <v>1</v>
      </c>
      <c r="K78" s="5"/>
      <c r="M78" s="109" t="s">
        <v>95</v>
      </c>
      <c r="N78" s="6">
        <v>1</v>
      </c>
      <c r="O78" s="5"/>
    </row>
    <row r="79" spans="1:15">
      <c r="A79" s="93" t="s">
        <v>71</v>
      </c>
      <c r="B79" s="6">
        <f>(B72*B73*B74*B75+B72*B73*B76*B77*B78)/1024</f>
        <v>3375</v>
      </c>
      <c r="C79" s="6" t="s">
        <v>108</v>
      </c>
      <c r="E79" s="93" t="s">
        <v>71</v>
      </c>
      <c r="F79" s="6">
        <f>(F72*F73*F74*F75+F72*F73*F76*F77*F78)/1024</f>
        <v>3780</v>
      </c>
      <c r="G79" s="5" t="s">
        <v>108</v>
      </c>
      <c r="I79" s="93" t="s">
        <v>71</v>
      </c>
      <c r="J79" s="6">
        <f>(J72*J73*J74*J75+J72*J73*J76*J77*J78)/1024</f>
        <v>3780</v>
      </c>
      <c r="K79" s="5" t="s">
        <v>108</v>
      </c>
      <c r="M79" s="93" t="s">
        <v>71</v>
      </c>
      <c r="N79" s="6">
        <f>(N72*N73*N74*N75+N72*N73*N76*N77*N78)/1024</f>
        <v>3780</v>
      </c>
      <c r="O79" s="5" t="s">
        <v>108</v>
      </c>
    </row>
  </sheetData>
  <mergeCells count="4">
    <mergeCell ref="A1:C1"/>
    <mergeCell ref="E1:G1"/>
    <mergeCell ref="I1:K1"/>
    <mergeCell ref="M1:O1"/>
  </mergeCells>
  <phoneticPr fontId="2" type="noConversion"/>
  <dataValidations count="1">
    <dataValidation type="list" allowBlank="1" showInputMessage="1" showErrorMessage="1" sqref="B71 F71 J71 N71">
      <formula1>"0,1"</formula1>
    </dataValidation>
  </dataValidations>
  <pageMargins left="0.7" right="0.7" top="0.75" bottom="0.75" header="0.3" footer="0.3"/>
  <pageSetup paperSize="148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" stopIfTrue="1" id="{B1E74666-1CD9-4722-84CC-6B873C4B86EE}">
            <xm:f>NOT(OR(Overview!$C$2="315/316",Overview!$C$2="316x2"))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E1:G79</xm:sqref>
        </x14:conditionalFormatting>
        <x14:conditionalFormatting xmlns:xm="http://schemas.microsoft.com/office/excel/2006/main">
          <x14:cfRule type="expression" priority="7" stopIfTrue="1" id="{67C88025-0B7F-462D-AD0E-AA01411E5545}">
            <xm:f>NOT(Overview!$C$2="316x2")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I1:O79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35"/>
  <sheetViews>
    <sheetView topLeftCell="A13" workbookViewId="0">
      <selection activeCell="C30" sqref="C30"/>
    </sheetView>
  </sheetViews>
  <sheetFormatPr defaultRowHeight="16.5"/>
  <cols>
    <col min="1" max="1" width="29.125" customWidth="1"/>
    <col min="2" max="2" width="8.25" bestFit="1" customWidth="1"/>
    <col min="3" max="3" width="8.875" customWidth="1"/>
    <col min="4" max="4" width="1.375" customWidth="1"/>
    <col min="5" max="5" width="29.125" customWidth="1"/>
    <col min="6" max="6" width="8.25" bestFit="1" customWidth="1"/>
    <col min="7" max="7" width="7.625" bestFit="1" customWidth="1"/>
    <col min="8" max="8" width="1.125" customWidth="1"/>
    <col min="9" max="9" width="29.125" customWidth="1"/>
    <col min="10" max="10" width="8.25" bestFit="1" customWidth="1"/>
    <col min="11" max="11" width="7.625" bestFit="1" customWidth="1"/>
    <col min="12" max="12" width="1.375" customWidth="1"/>
    <col min="13" max="13" width="29" customWidth="1"/>
    <col min="14" max="14" width="8.25" bestFit="1" customWidth="1"/>
    <col min="15" max="15" width="7.625" bestFit="1" customWidth="1"/>
  </cols>
  <sheetData>
    <row r="1" spans="1:15">
      <c r="A1" s="179" t="s">
        <v>77</v>
      </c>
      <c r="B1" s="180"/>
      <c r="C1" s="181"/>
      <c r="E1" s="179" t="s">
        <v>47</v>
      </c>
      <c r="F1" s="180"/>
      <c r="G1" s="181"/>
      <c r="I1" s="179" t="s">
        <v>96</v>
      </c>
      <c r="J1" s="180"/>
      <c r="K1" s="181"/>
      <c r="M1" s="179" t="s">
        <v>45</v>
      </c>
      <c r="N1" s="180"/>
      <c r="O1" s="181"/>
    </row>
    <row r="2" spans="1:15" ht="9" customHeight="1">
      <c r="B2" s="4"/>
      <c r="C2" s="15"/>
    </row>
    <row r="3" spans="1:15">
      <c r="A3" s="52" t="s">
        <v>97</v>
      </c>
      <c r="B3" s="53" t="s">
        <v>70</v>
      </c>
      <c r="C3" s="53" t="s">
        <v>78</v>
      </c>
      <c r="E3" s="52" t="s">
        <v>110</v>
      </c>
      <c r="F3" s="53" t="s">
        <v>70</v>
      </c>
      <c r="G3" s="53" t="s">
        <v>78</v>
      </c>
      <c r="I3" s="52" t="s">
        <v>110</v>
      </c>
      <c r="J3" s="53" t="s">
        <v>70</v>
      </c>
      <c r="K3" s="53" t="s">
        <v>78</v>
      </c>
      <c r="M3" s="52" t="s">
        <v>110</v>
      </c>
      <c r="N3" s="53" t="s">
        <v>70</v>
      </c>
      <c r="O3" s="53" t="s">
        <v>78</v>
      </c>
    </row>
    <row r="4" spans="1:15">
      <c r="A4" s="54" t="s">
        <v>6</v>
      </c>
      <c r="B4" s="6">
        <f>Overview!C18</f>
        <v>4</v>
      </c>
      <c r="C4" s="6"/>
      <c r="E4" s="54" t="s">
        <v>6</v>
      </c>
      <c r="F4" s="6">
        <f>Overview!G18</f>
        <v>8</v>
      </c>
      <c r="G4" s="6"/>
      <c r="I4" s="54" t="s">
        <v>6</v>
      </c>
      <c r="J4" s="6">
        <f>Overview!K18</f>
        <v>4</v>
      </c>
      <c r="K4" s="6"/>
      <c r="M4" s="54" t="s">
        <v>6</v>
      </c>
      <c r="N4" s="6">
        <f>Overview!O18</f>
        <v>4</v>
      </c>
      <c r="O4" s="6"/>
    </row>
    <row r="5" spans="1:15">
      <c r="A5" s="54" t="s">
        <v>73</v>
      </c>
      <c r="B5" s="6">
        <f>CEILING(Overview!C19,16)</f>
        <v>1920</v>
      </c>
      <c r="C5" s="6"/>
      <c r="E5" s="54" t="s">
        <v>73</v>
      </c>
      <c r="F5" s="6">
        <f>CEILING(Overview!G19,16)</f>
        <v>1920</v>
      </c>
      <c r="G5" s="6"/>
      <c r="I5" s="54" t="s">
        <v>73</v>
      </c>
      <c r="J5" s="6">
        <f>CEILING(Overview!K19,16)</f>
        <v>1920</v>
      </c>
      <c r="K5" s="6"/>
      <c r="M5" s="54" t="s">
        <v>73</v>
      </c>
      <c r="N5" s="6">
        <f>CEILING(Overview!O19,16)</f>
        <v>1920</v>
      </c>
      <c r="O5" s="6"/>
    </row>
    <row r="6" spans="1:15">
      <c r="A6" s="54" t="s">
        <v>74</v>
      </c>
      <c r="B6" s="6">
        <f>CEILING(Overview!C20,16)</f>
        <v>1088</v>
      </c>
      <c r="C6" s="6"/>
      <c r="E6" s="54" t="s">
        <v>74</v>
      </c>
      <c r="F6" s="6">
        <f>CEILING(Overview!G20,16)</f>
        <v>1088</v>
      </c>
      <c r="G6" s="6"/>
      <c r="I6" s="54" t="s">
        <v>74</v>
      </c>
      <c r="J6" s="6">
        <f>CEILING(Overview!K20,16)</f>
        <v>1088</v>
      </c>
      <c r="K6" s="6"/>
      <c r="M6" s="54" t="s">
        <v>74</v>
      </c>
      <c r="N6" s="6">
        <f>CEILING(Overview!O20,16)</f>
        <v>1088</v>
      </c>
      <c r="O6" s="6"/>
    </row>
    <row r="7" spans="1:15">
      <c r="A7" s="54" t="s">
        <v>75</v>
      </c>
      <c r="B7" s="6">
        <v>8192</v>
      </c>
      <c r="C7" s="6"/>
      <c r="E7" s="54" t="s">
        <v>75</v>
      </c>
      <c r="F7" s="6">
        <v>8192</v>
      </c>
      <c r="G7" s="6"/>
      <c r="I7" s="54" t="s">
        <v>75</v>
      </c>
      <c r="J7" s="6">
        <v>8192</v>
      </c>
      <c r="K7" s="6"/>
      <c r="M7" s="54" t="s">
        <v>75</v>
      </c>
      <c r="N7" s="6">
        <v>8192</v>
      </c>
      <c r="O7" s="6"/>
    </row>
    <row r="8" spans="1:15">
      <c r="A8" s="42" t="s">
        <v>92</v>
      </c>
      <c r="B8" s="6">
        <f>IF(Overview!C2="321",1.5,2)</f>
        <v>1.5</v>
      </c>
      <c r="C8" s="6"/>
      <c r="E8" s="42" t="s">
        <v>92</v>
      </c>
      <c r="F8" s="6">
        <v>2</v>
      </c>
      <c r="G8" s="6"/>
      <c r="I8" s="42" t="s">
        <v>92</v>
      </c>
      <c r="J8" s="6">
        <v>2</v>
      </c>
      <c r="K8" s="6"/>
      <c r="M8" s="42" t="s">
        <v>92</v>
      </c>
      <c r="N8" s="6">
        <v>2</v>
      </c>
      <c r="O8" s="6"/>
    </row>
    <row r="9" spans="1:15">
      <c r="A9" s="54" t="s">
        <v>101</v>
      </c>
      <c r="B9" s="6">
        <v>0.3</v>
      </c>
      <c r="C9" s="6"/>
      <c r="E9" s="54" t="s">
        <v>101</v>
      </c>
      <c r="F9" s="6">
        <v>0.3</v>
      </c>
      <c r="G9" s="6"/>
      <c r="I9" s="54" t="s">
        <v>101</v>
      </c>
      <c r="J9" s="6">
        <v>0.3</v>
      </c>
      <c r="K9" s="6"/>
      <c r="M9" s="54" t="s">
        <v>101</v>
      </c>
      <c r="N9" s="6">
        <v>0.3</v>
      </c>
      <c r="O9" s="6"/>
    </row>
    <row r="10" spans="1:15">
      <c r="A10" s="59" t="s">
        <v>102</v>
      </c>
      <c r="B10" s="6">
        <f>Overview!C21</f>
        <v>4</v>
      </c>
      <c r="C10" s="3"/>
      <c r="E10" s="59" t="s">
        <v>102</v>
      </c>
      <c r="F10" s="6">
        <f>Overview!G21</f>
        <v>4</v>
      </c>
      <c r="G10" s="3"/>
      <c r="I10" s="59" t="s">
        <v>102</v>
      </c>
      <c r="J10" s="6">
        <f>Overview!K21</f>
        <v>4</v>
      </c>
      <c r="K10" s="3"/>
      <c r="M10" s="59" t="s">
        <v>102</v>
      </c>
      <c r="N10" s="6">
        <f>Overview!O21</f>
        <v>4</v>
      </c>
      <c r="O10" s="3"/>
    </row>
    <row r="11" spans="1:15">
      <c r="A11" s="60" t="s">
        <v>103</v>
      </c>
      <c r="B11" s="6">
        <v>7</v>
      </c>
      <c r="C11" s="6"/>
      <c r="E11" s="60" t="s">
        <v>103</v>
      </c>
      <c r="F11" s="6">
        <v>7</v>
      </c>
      <c r="G11" s="6"/>
      <c r="I11" s="60" t="s">
        <v>103</v>
      </c>
      <c r="J11" s="6">
        <v>7</v>
      </c>
      <c r="K11" s="6"/>
      <c r="M11" s="60" t="s">
        <v>103</v>
      </c>
      <c r="N11" s="6">
        <v>7</v>
      </c>
      <c r="O11" s="6"/>
    </row>
    <row r="12" spans="1:15">
      <c r="A12" s="54" t="s">
        <v>5</v>
      </c>
      <c r="B12" s="6">
        <v>0.25</v>
      </c>
      <c r="C12" s="6" t="s">
        <v>104</v>
      </c>
      <c r="E12" s="54" t="s">
        <v>5</v>
      </c>
      <c r="F12" s="6">
        <v>0.25</v>
      </c>
      <c r="G12" s="6" t="s">
        <v>104</v>
      </c>
      <c r="I12" s="54" t="s">
        <v>5</v>
      </c>
      <c r="J12" s="6">
        <v>0.25</v>
      </c>
      <c r="K12" s="6" t="s">
        <v>104</v>
      </c>
      <c r="M12" s="54" t="s">
        <v>5</v>
      </c>
      <c r="N12" s="6">
        <v>0.25</v>
      </c>
      <c r="O12" s="6" t="s">
        <v>104</v>
      </c>
    </row>
    <row r="13" spans="1:15">
      <c r="A13" s="54" t="s">
        <v>106</v>
      </c>
      <c r="B13" s="6">
        <f>IF(OR(Overview!C2="321",Overview!C2="311/312/313"),C13,CEILING(C13+(B5*B6*1.5*B9)/1024,4))</f>
        <v>128</v>
      </c>
      <c r="C13" s="6">
        <f>CEILING(CEILING(B5,64)*CEILING(B6,64)/16/1024,4)</f>
        <v>128</v>
      </c>
      <c r="E13" s="54" t="s">
        <v>106</v>
      </c>
      <c r="F13" s="6">
        <f>CEILING(C13+(F5*F6*1.5*F9)/1024, 4)</f>
        <v>1048</v>
      </c>
      <c r="G13" s="6"/>
      <c r="I13" s="54" t="s">
        <v>106</v>
      </c>
      <c r="J13" s="6">
        <f>CEILING(C13+(J5*J6*1.5*J9)/1024, 4)</f>
        <v>1048</v>
      </c>
      <c r="K13" s="6"/>
      <c r="M13" s="54" t="s">
        <v>106</v>
      </c>
      <c r="N13" s="6">
        <f>CEILING(C13 + (N5*N6*1.5*N9)/1024, 4)</f>
        <v>1048</v>
      </c>
      <c r="O13" s="6"/>
    </row>
    <row r="14" spans="1:15">
      <c r="A14" s="54" t="s">
        <v>231</v>
      </c>
      <c r="B14" s="6">
        <f>CEILING((B5*B6*B8)/1024, 4)</f>
        <v>3060</v>
      </c>
      <c r="C14" s="6"/>
      <c r="E14" s="135" t="s">
        <v>231</v>
      </c>
      <c r="F14" s="6">
        <f>CEILING((F5*F6*F8)/1024, 4)</f>
        <v>4080</v>
      </c>
      <c r="G14" s="6"/>
      <c r="I14" s="135" t="s">
        <v>231</v>
      </c>
      <c r="J14" s="6">
        <f>CEILING((J5*J6*J8)/1024, 4)</f>
        <v>4080</v>
      </c>
      <c r="K14" s="6"/>
      <c r="M14" s="135" t="s">
        <v>231</v>
      </c>
      <c r="N14" s="6">
        <f>CEILING((N5*N6*N8)/1024, 4)</f>
        <v>4080</v>
      </c>
      <c r="O14" s="6"/>
    </row>
    <row r="15" spans="1:15">
      <c r="A15" s="54" t="s">
        <v>105</v>
      </c>
      <c r="B15" s="6">
        <f>IF(B4&gt;0,B5*B6*1.5*B9/1024,0)</f>
        <v>918</v>
      </c>
      <c r="C15" s="6"/>
      <c r="E15" s="54" t="s">
        <v>105</v>
      </c>
      <c r="F15" s="6">
        <f>IF(F4&gt;0,F5*F6*1.5*F9/1024,0)</f>
        <v>918</v>
      </c>
      <c r="G15" s="6"/>
      <c r="I15" s="54" t="s">
        <v>105</v>
      </c>
      <c r="J15" s="6">
        <f>IF(J4&gt;0,J5*J6*1.5*J9/1024,0)</f>
        <v>918</v>
      </c>
      <c r="K15" s="6"/>
      <c r="M15" s="54" t="s">
        <v>105</v>
      </c>
      <c r="N15" s="6">
        <f>IF(N4&gt;0,N5*N6*1.5*N9/1024,0)</f>
        <v>918</v>
      </c>
      <c r="O15" s="6"/>
    </row>
    <row r="16" spans="1:15">
      <c r="A16" s="58" t="s">
        <v>99</v>
      </c>
      <c r="B16" s="6">
        <f>CEILING(((B15*2)+(B7/8/25)*B11)*B4,4)+F16+J16+N16</f>
        <v>8492</v>
      </c>
      <c r="C16" s="61"/>
      <c r="E16" s="58" t="s">
        <v>99</v>
      </c>
      <c r="F16" s="6">
        <f>IF(OR(Overview!$C$2="315/316",Overview!$C$2="316x2"),CEILING(((F15*2)+(F7/8/25)*F11)*F4,4),0)</f>
        <v>0</v>
      </c>
      <c r="G16" s="61" t="s">
        <v>217</v>
      </c>
      <c r="I16" s="58" t="s">
        <v>99</v>
      </c>
      <c r="J16" s="6">
        <f>IF(Overview!$C$2="316x2",CEILING(((J15*2)+(J7/8/25)*J11)*J4,4),0)</f>
        <v>0</v>
      </c>
      <c r="K16" s="61" t="s">
        <v>216</v>
      </c>
      <c r="M16" s="58" t="s">
        <v>99</v>
      </c>
      <c r="N16" s="6">
        <f>IF(Overview!$C$2="316x2",CEILING(((N15*2)+(N7/8/25)*N11)*N4,4),0)</f>
        <v>0</v>
      </c>
      <c r="O16" s="61" t="s">
        <v>218</v>
      </c>
    </row>
    <row r="17" spans="1:15">
      <c r="A17" s="58" t="s">
        <v>98</v>
      </c>
      <c r="B17" s="6">
        <f>CEILING(B14+B13,4)*B4*B10</f>
        <v>51008</v>
      </c>
      <c r="C17" s="6"/>
      <c r="E17" s="134" t="s">
        <v>98</v>
      </c>
      <c r="F17" s="6">
        <f>CEILING(F14+F13,4)*F4*F10</f>
        <v>164096</v>
      </c>
      <c r="G17" s="6"/>
      <c r="I17" s="134" t="s">
        <v>98</v>
      </c>
      <c r="J17" s="6">
        <f>CEILING(J14+J13,4)*J4*J10</f>
        <v>82048</v>
      </c>
      <c r="K17" s="6"/>
      <c r="M17" s="134" t="s">
        <v>98</v>
      </c>
      <c r="N17" s="6">
        <f>CEILING(N14+N13,4)*N4*N10</f>
        <v>82048</v>
      </c>
      <c r="O17" s="6"/>
    </row>
    <row r="18" spans="1:15">
      <c r="A18" s="58" t="s">
        <v>100</v>
      </c>
      <c r="B18" s="6">
        <f>CEILING(B14,4)*B4*B10*B12</f>
        <v>12240</v>
      </c>
      <c r="C18" s="6"/>
      <c r="E18" s="134" t="s">
        <v>100</v>
      </c>
      <c r="F18" s="6">
        <f>CEILING(F14,4)*F4*F10*F12</f>
        <v>32640</v>
      </c>
      <c r="G18" s="6"/>
      <c r="I18" s="134" t="s">
        <v>100</v>
      </c>
      <c r="J18" s="6">
        <f>CEILING(J14,4)*J4*J10*J12</f>
        <v>16320</v>
      </c>
      <c r="K18" s="6"/>
      <c r="M18" s="134" t="s">
        <v>100</v>
      </c>
      <c r="N18" s="6">
        <f>CEILING(N14,4)*N4*N10*N12</f>
        <v>16320</v>
      </c>
      <c r="O18" s="6"/>
    </row>
    <row r="20" spans="1:15">
      <c r="A20" s="52" t="s">
        <v>109</v>
      </c>
      <c r="B20" s="53" t="s">
        <v>70</v>
      </c>
      <c r="C20" s="53" t="s">
        <v>78</v>
      </c>
      <c r="E20" s="52" t="s">
        <v>109</v>
      </c>
      <c r="F20" s="53" t="s">
        <v>70</v>
      </c>
      <c r="G20" s="53" t="s">
        <v>78</v>
      </c>
      <c r="I20" s="52" t="s">
        <v>109</v>
      </c>
      <c r="J20" s="53" t="s">
        <v>70</v>
      </c>
      <c r="K20" s="53" t="s">
        <v>78</v>
      </c>
      <c r="M20" s="52" t="s">
        <v>109</v>
      </c>
      <c r="N20" s="53" t="s">
        <v>70</v>
      </c>
      <c r="O20" s="53" t="s">
        <v>78</v>
      </c>
    </row>
    <row r="21" spans="1:15">
      <c r="A21" s="54" t="s">
        <v>6</v>
      </c>
      <c r="B21" s="6">
        <f>Overview!C22</f>
        <v>0</v>
      </c>
      <c r="C21" s="6"/>
      <c r="E21" s="54" t="s">
        <v>6</v>
      </c>
      <c r="F21" s="6">
        <f>Overview!G22</f>
        <v>0</v>
      </c>
      <c r="G21" s="6"/>
      <c r="I21" s="54" t="s">
        <v>6</v>
      </c>
      <c r="J21" s="6">
        <f>Overview!K22</f>
        <v>0</v>
      </c>
      <c r="K21" s="6"/>
      <c r="M21" s="54" t="s">
        <v>6</v>
      </c>
      <c r="N21" s="6">
        <f>Overview!O22</f>
        <v>0</v>
      </c>
      <c r="O21" s="6"/>
    </row>
    <row r="22" spans="1:15">
      <c r="A22" s="54" t="s">
        <v>73</v>
      </c>
      <c r="B22" s="6">
        <f>Overview!C23</f>
        <v>2560</v>
      </c>
      <c r="C22" s="6"/>
      <c r="E22" s="54" t="s">
        <v>73</v>
      </c>
      <c r="F22" s="6">
        <f>Overview!G23</f>
        <v>2560</v>
      </c>
      <c r="G22" s="6"/>
      <c r="I22" s="54" t="s">
        <v>73</v>
      </c>
      <c r="J22" s="6">
        <f>Overview!K23</f>
        <v>2560</v>
      </c>
      <c r="K22" s="6"/>
      <c r="M22" s="54" t="s">
        <v>73</v>
      </c>
      <c r="N22" s="6">
        <f>Overview!O23</f>
        <v>2560</v>
      </c>
      <c r="O22" s="6"/>
    </row>
    <row r="23" spans="1:15">
      <c r="A23" s="54" t="s">
        <v>74</v>
      </c>
      <c r="B23" s="6">
        <f>Overview!C24</f>
        <v>1440</v>
      </c>
      <c r="C23" s="6"/>
      <c r="E23" s="54" t="s">
        <v>74</v>
      </c>
      <c r="F23" s="6">
        <f>Overview!G24</f>
        <v>1440</v>
      </c>
      <c r="G23" s="6"/>
      <c r="I23" s="54" t="s">
        <v>74</v>
      </c>
      <c r="J23" s="6">
        <f>Overview!K24</f>
        <v>1440</v>
      </c>
      <c r="K23" s="6"/>
      <c r="M23" s="54" t="s">
        <v>74</v>
      </c>
      <c r="N23" s="6">
        <f>Overview!O24</f>
        <v>1440</v>
      </c>
      <c r="O23" s="6"/>
    </row>
    <row r="24" spans="1:15">
      <c r="A24" s="54" t="s">
        <v>75</v>
      </c>
      <c r="B24" s="6">
        <v>8192</v>
      </c>
      <c r="C24" s="6"/>
      <c r="E24" s="54" t="s">
        <v>75</v>
      </c>
      <c r="F24" s="6">
        <v>8192</v>
      </c>
      <c r="G24" s="6"/>
      <c r="I24" s="54" t="s">
        <v>75</v>
      </c>
      <c r="J24" s="6">
        <v>8192</v>
      </c>
      <c r="K24" s="6"/>
      <c r="M24" s="54" t="s">
        <v>75</v>
      </c>
      <c r="N24" s="6">
        <v>8192</v>
      </c>
      <c r="O24" s="6"/>
    </row>
    <row r="25" spans="1:15">
      <c r="A25" s="42" t="s">
        <v>92</v>
      </c>
      <c r="B25" s="6">
        <f>IF(Overview!C2="321",1.5,2)</f>
        <v>1.5</v>
      </c>
      <c r="C25" s="6"/>
      <c r="E25" s="42" t="s">
        <v>92</v>
      </c>
      <c r="F25" s="6">
        <v>2</v>
      </c>
      <c r="G25" s="6"/>
      <c r="I25" s="42" t="s">
        <v>92</v>
      </c>
      <c r="J25" s="6">
        <v>2</v>
      </c>
      <c r="K25" s="6"/>
      <c r="M25" s="42" t="s">
        <v>92</v>
      </c>
      <c r="N25" s="6">
        <v>2</v>
      </c>
      <c r="O25" s="6"/>
    </row>
    <row r="26" spans="1:15">
      <c r="A26" s="54" t="s">
        <v>101</v>
      </c>
      <c r="B26" s="6">
        <v>0.3</v>
      </c>
      <c r="C26" s="6"/>
      <c r="E26" s="54" t="s">
        <v>101</v>
      </c>
      <c r="F26" s="6">
        <v>0.3</v>
      </c>
      <c r="G26" s="6"/>
      <c r="I26" s="54" t="s">
        <v>101</v>
      </c>
      <c r="J26" s="6">
        <v>0.3</v>
      </c>
      <c r="K26" s="6"/>
      <c r="M26" s="54" t="s">
        <v>101</v>
      </c>
      <c r="N26" s="6">
        <v>0.3</v>
      </c>
      <c r="O26" s="6"/>
    </row>
    <row r="27" spans="1:15">
      <c r="A27" s="59" t="s">
        <v>102</v>
      </c>
      <c r="B27" s="6">
        <f>Overview!C25</f>
        <v>4</v>
      </c>
      <c r="C27" s="3"/>
      <c r="E27" s="59" t="s">
        <v>102</v>
      </c>
      <c r="F27" s="6">
        <f>Overview!G25</f>
        <v>4</v>
      </c>
      <c r="G27" s="3"/>
      <c r="I27" s="59" t="s">
        <v>102</v>
      </c>
      <c r="J27" s="6">
        <f>Overview!K25</f>
        <v>4</v>
      </c>
      <c r="K27" s="3"/>
      <c r="M27" s="59" t="s">
        <v>102</v>
      </c>
      <c r="N27" s="6">
        <f>Overview!O25</f>
        <v>4</v>
      </c>
      <c r="O27" s="3"/>
    </row>
    <row r="28" spans="1:15">
      <c r="A28" s="60" t="s">
        <v>103</v>
      </c>
      <c r="B28" s="6">
        <v>7</v>
      </c>
      <c r="C28" s="6"/>
      <c r="E28" s="60" t="s">
        <v>103</v>
      </c>
      <c r="F28" s="6">
        <v>7</v>
      </c>
      <c r="G28" s="6"/>
      <c r="I28" s="60" t="s">
        <v>103</v>
      </c>
      <c r="J28" s="6">
        <v>7</v>
      </c>
      <c r="K28" s="6"/>
      <c r="M28" s="60" t="s">
        <v>103</v>
      </c>
      <c r="N28" s="6">
        <v>7</v>
      </c>
      <c r="O28" s="6"/>
    </row>
    <row r="29" spans="1:15">
      <c r="A29" s="54" t="s">
        <v>5</v>
      </c>
      <c r="B29" s="6">
        <v>0.25</v>
      </c>
      <c r="C29" s="6" t="s">
        <v>104</v>
      </c>
      <c r="E29" s="54" t="s">
        <v>5</v>
      </c>
      <c r="F29" s="6">
        <v>0.25</v>
      </c>
      <c r="G29" s="6" t="s">
        <v>104</v>
      </c>
      <c r="I29" s="54" t="s">
        <v>5</v>
      </c>
      <c r="J29" s="6">
        <v>0.25</v>
      </c>
      <c r="K29" s="6" t="s">
        <v>104</v>
      </c>
      <c r="M29" s="54" t="s">
        <v>5</v>
      </c>
      <c r="N29" s="6">
        <v>0.25</v>
      </c>
      <c r="O29" s="6" t="s">
        <v>104</v>
      </c>
    </row>
    <row r="30" spans="1:15">
      <c r="A30" s="54" t="s">
        <v>106</v>
      </c>
      <c r="B30" s="6">
        <f>IF(OR(Overview!C2="321",Overview!C2="311/312/313"),C30,CEILING(C30 + (B22*B23*1.5*B26)/1024, 4))</f>
        <v>232</v>
      </c>
      <c r="C30" s="6">
        <f>CEILING(CEILING(B22,64)*CEILING(B23,64)/16/1024,4)</f>
        <v>232</v>
      </c>
      <c r="E30" s="54" t="s">
        <v>106</v>
      </c>
      <c r="F30" s="6">
        <f>CEILING(C30 + (F22*F23*1.5*F26)/1024, 4)</f>
        <v>1852</v>
      </c>
      <c r="G30" s="6"/>
      <c r="I30" s="54" t="s">
        <v>106</v>
      </c>
      <c r="J30" s="6">
        <f>CEILING(C30 + (J22*J23*1.5*J26)/1024, 4)</f>
        <v>1852</v>
      </c>
      <c r="K30" s="6"/>
      <c r="M30" s="54" t="s">
        <v>106</v>
      </c>
      <c r="N30" s="6">
        <f>CEILING(C30 + (N22*N23*1.5*N26)/1024, 4)</f>
        <v>1852</v>
      </c>
      <c r="O30" s="6"/>
    </row>
    <row r="31" spans="1:15">
      <c r="A31" s="135" t="s">
        <v>231</v>
      </c>
      <c r="B31" s="6">
        <f>CEILING((B22*B23*B25)/1024, 4)</f>
        <v>5400</v>
      </c>
      <c r="C31" s="6"/>
      <c r="E31" s="135" t="s">
        <v>231</v>
      </c>
      <c r="F31" s="6">
        <f>CEILING((F22*F23*F25)/1024, 4)</f>
        <v>7200</v>
      </c>
      <c r="G31" s="6"/>
      <c r="I31" s="135" t="s">
        <v>231</v>
      </c>
      <c r="J31" s="6">
        <f>CEILING((J22*J23*J25)/1024, 4)</f>
        <v>7200</v>
      </c>
      <c r="K31" s="6"/>
      <c r="M31" s="135" t="s">
        <v>231</v>
      </c>
      <c r="N31" s="6">
        <f>CEILING((N22*N23*N25)/1024, 4)</f>
        <v>7200</v>
      </c>
      <c r="O31" s="6"/>
    </row>
    <row r="32" spans="1:15">
      <c r="A32" s="54" t="s">
        <v>105</v>
      </c>
      <c r="B32" s="6">
        <f>IF(B21&gt;0,B22*B23*1.5*B26/1024,0)</f>
        <v>0</v>
      </c>
      <c r="C32" s="6"/>
      <c r="E32" s="54" t="s">
        <v>105</v>
      </c>
      <c r="F32" s="6">
        <f>IF(F21&gt;0,F22*F23*1.5*F26/1024,0)</f>
        <v>0</v>
      </c>
      <c r="G32" s="6"/>
      <c r="I32" s="54" t="s">
        <v>105</v>
      </c>
      <c r="J32" s="6">
        <f>IF(J21&gt;0,J22*J23*1.5*J26/1024,0)</f>
        <v>0</v>
      </c>
      <c r="K32" s="6"/>
      <c r="M32" s="54" t="s">
        <v>105</v>
      </c>
      <c r="N32" s="6">
        <f>IF(N21&gt;0,N22*N23*1.5*N26/1024,0)</f>
        <v>0</v>
      </c>
      <c r="O32" s="6"/>
    </row>
    <row r="33" spans="1:15">
      <c r="A33" s="134" t="s">
        <v>99</v>
      </c>
      <c r="B33" s="6">
        <f>CEILING(((B32*2)+(B24/8/25)*B28)*B21,4)+F33+J33+N33</f>
        <v>0</v>
      </c>
      <c r="C33" s="61"/>
      <c r="E33" s="58" t="s">
        <v>99</v>
      </c>
      <c r="F33" s="6">
        <f>IF(OR(Overview!$C$2="315/316",Overview!$C$2="316x2"),CEILING(((F32*2)+(F24/8/25)*F28)*F21,4),0)</f>
        <v>0</v>
      </c>
      <c r="G33" s="61" t="s">
        <v>218</v>
      </c>
      <c r="I33" s="58" t="s">
        <v>99</v>
      </c>
      <c r="J33" s="6">
        <f>IF(Overview!$C$2="316x2",CEILING(((J32*2)+(J24/8/25)*J28)*J21,4),0)</f>
        <v>0</v>
      </c>
      <c r="K33" s="61" t="s">
        <v>217</v>
      </c>
      <c r="M33" s="58" t="s">
        <v>99</v>
      </c>
      <c r="N33" s="6">
        <f>IF(Overview!$C$2="316x2",CEILING(((N32*2)+(N24/8/25)*N28)*N21,4),0)</f>
        <v>0</v>
      </c>
      <c r="O33" s="61" t="s">
        <v>219</v>
      </c>
    </row>
    <row r="34" spans="1:15">
      <c r="A34" s="134" t="s">
        <v>98</v>
      </c>
      <c r="B34" s="6">
        <f>CEILING(B31+B30,4)*B21*B27</f>
        <v>0</v>
      </c>
      <c r="C34" s="6"/>
      <c r="E34" s="134" t="s">
        <v>98</v>
      </c>
      <c r="F34" s="6">
        <f>CEILING(F31+F30,4)*F21*F27</f>
        <v>0</v>
      </c>
      <c r="G34" s="6"/>
      <c r="I34" s="134" t="s">
        <v>98</v>
      </c>
      <c r="J34" s="6">
        <f>CEILING(J31+J30,4)*J21*J27</f>
        <v>0</v>
      </c>
      <c r="K34" s="6"/>
      <c r="M34" s="134" t="s">
        <v>98</v>
      </c>
      <c r="N34" s="6">
        <f>CEILING(N31+N30,4)*N21*N27</f>
        <v>0</v>
      </c>
      <c r="O34" s="6"/>
    </row>
    <row r="35" spans="1:15">
      <c r="A35" s="134" t="s">
        <v>100</v>
      </c>
      <c r="B35" s="6">
        <f>CEILING(B31,4)*B21*B27*B29</f>
        <v>0</v>
      </c>
      <c r="C35" s="6"/>
      <c r="E35" s="134" t="s">
        <v>100</v>
      </c>
      <c r="F35" s="6">
        <f>CEILING(F31,4)*F21*F27*F29</f>
        <v>0</v>
      </c>
      <c r="G35" s="6"/>
      <c r="I35" s="134" t="s">
        <v>100</v>
      </c>
      <c r="J35" s="6">
        <f>CEILING(J31,4)*J21*J27*J29</f>
        <v>0</v>
      </c>
      <c r="K35" s="6"/>
      <c r="M35" s="134" t="s">
        <v>100</v>
      </c>
      <c r="N35" s="6">
        <f>CEILING(N31,4)*N21*N27*N29</f>
        <v>0</v>
      </c>
      <c r="O35" s="6"/>
    </row>
  </sheetData>
  <mergeCells count="4">
    <mergeCell ref="A1:C1"/>
    <mergeCell ref="E1:G1"/>
    <mergeCell ref="I1:K1"/>
    <mergeCell ref="M1:O1"/>
  </mergeCells>
  <phoneticPr fontId="2" type="noConversion"/>
  <pageMargins left="0.7" right="0.7" top="0.75" bottom="0.75" header="0.3" footer="0.3"/>
  <pageSetup paperSize="148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stopIfTrue="1" id="{1D1A1E10-0432-4BE8-B0B8-1B42D55E0F9D}">
            <xm:f>NOT(OR(Overview!$C$2="315/316",Overview!$C$2="316x2"))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E1:O35</xm:sqref>
        </x14:conditionalFormatting>
        <x14:conditionalFormatting xmlns:xm="http://schemas.microsoft.com/office/excel/2006/main">
          <x14:cfRule type="expression" priority="4" stopIfTrue="1" id="{961E9768-7E0A-4BE7-AD95-740995BE6494}">
            <xm:f>NOT(Overview!$C$2="316x2")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I1:O35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22"/>
  <sheetViews>
    <sheetView workbookViewId="0">
      <selection activeCell="B12" sqref="B12"/>
    </sheetView>
  </sheetViews>
  <sheetFormatPr defaultRowHeight="16.5"/>
  <cols>
    <col min="1" max="1" width="37.25" customWidth="1"/>
    <col min="2" max="2" width="10.375" bestFit="1" customWidth="1"/>
  </cols>
  <sheetData>
    <row r="1" spans="1:3">
      <c r="A1" s="179" t="s">
        <v>46</v>
      </c>
      <c r="B1" s="180"/>
      <c r="C1" s="181"/>
    </row>
    <row r="2" spans="1:3" ht="7.9" customHeight="1">
      <c r="B2" s="4"/>
      <c r="C2" s="15"/>
    </row>
    <row r="3" spans="1:3">
      <c r="A3" s="48" t="s">
        <v>160</v>
      </c>
      <c r="B3" s="49" t="s">
        <v>1</v>
      </c>
      <c r="C3" s="49" t="s">
        <v>78</v>
      </c>
    </row>
    <row r="4" spans="1:3">
      <c r="A4" s="42" t="s">
        <v>162</v>
      </c>
      <c r="B4" s="5">
        <f>Overview!C46</f>
        <v>4</v>
      </c>
      <c r="C4" s="5"/>
    </row>
    <row r="5" spans="1:3">
      <c r="A5" s="42" t="s">
        <v>163</v>
      </c>
      <c r="B5" s="5">
        <f>Overview!C47*1000</f>
        <v>16000</v>
      </c>
      <c r="C5" s="5"/>
    </row>
    <row r="6" spans="1:3">
      <c r="A6" s="42" t="s">
        <v>82</v>
      </c>
      <c r="B6" s="5">
        <v>1</v>
      </c>
      <c r="C6" s="5"/>
    </row>
    <row r="7" spans="1:3">
      <c r="A7" s="42" t="s">
        <v>170</v>
      </c>
      <c r="B7" s="5">
        <v>16</v>
      </c>
      <c r="C7" s="5"/>
    </row>
    <row r="8" spans="1:3">
      <c r="A8" s="84" t="s">
        <v>164</v>
      </c>
      <c r="B8" s="5">
        <v>768</v>
      </c>
      <c r="C8" s="5"/>
    </row>
    <row r="9" spans="1:3">
      <c r="A9" s="42" t="s">
        <v>165</v>
      </c>
      <c r="B9" s="5">
        <v>1280</v>
      </c>
      <c r="C9" s="5"/>
    </row>
    <row r="10" spans="1:3">
      <c r="A10" s="42" t="s">
        <v>166</v>
      </c>
      <c r="B10" s="5">
        <v>2</v>
      </c>
      <c r="C10" s="5"/>
    </row>
    <row r="11" spans="1:3">
      <c r="A11" s="10" t="s">
        <v>167</v>
      </c>
      <c r="B11" s="5">
        <v>20</v>
      </c>
      <c r="C11" s="5"/>
    </row>
    <row r="12" spans="1:3">
      <c r="A12" s="43" t="s">
        <v>161</v>
      </c>
      <c r="B12" s="5">
        <f>CEILING((B9*B6*B7*B4/8)*2*B11*B10/1024,4)</f>
        <v>800</v>
      </c>
      <c r="C12" s="5"/>
    </row>
    <row r="14" spans="1:3">
      <c r="A14" s="48" t="s">
        <v>168</v>
      </c>
      <c r="B14" s="49" t="s">
        <v>1</v>
      </c>
      <c r="C14" s="49" t="s">
        <v>78</v>
      </c>
    </row>
    <row r="15" spans="1:3">
      <c r="A15" s="54" t="s">
        <v>162</v>
      </c>
      <c r="B15" s="5">
        <v>3</v>
      </c>
      <c r="C15" s="5"/>
    </row>
    <row r="16" spans="1:3">
      <c r="A16" s="54" t="s">
        <v>163</v>
      </c>
      <c r="B16" s="5">
        <v>48000</v>
      </c>
      <c r="C16" s="5"/>
    </row>
    <row r="17" spans="1:3">
      <c r="A17" s="54" t="s">
        <v>82</v>
      </c>
      <c r="B17" s="5">
        <v>1</v>
      </c>
      <c r="C17" s="5"/>
    </row>
    <row r="18" spans="1:3">
      <c r="A18" s="42" t="s">
        <v>170</v>
      </c>
      <c r="B18" s="5">
        <v>16</v>
      </c>
      <c r="C18" s="5"/>
    </row>
    <row r="19" spans="1:3">
      <c r="A19" s="84" t="s">
        <v>164</v>
      </c>
      <c r="B19" s="8">
        <v>768</v>
      </c>
      <c r="C19" s="5"/>
    </row>
    <row r="20" spans="1:3">
      <c r="A20" s="42" t="s">
        <v>165</v>
      </c>
      <c r="B20" s="8">
        <v>2048</v>
      </c>
      <c r="C20" s="5"/>
    </row>
    <row r="21" spans="1:3">
      <c r="A21" s="10" t="s">
        <v>167</v>
      </c>
      <c r="B21" s="8">
        <v>18</v>
      </c>
      <c r="C21" s="5"/>
    </row>
    <row r="22" spans="1:3">
      <c r="A22" s="78" t="s">
        <v>169</v>
      </c>
      <c r="B22" s="5">
        <f>CEILING((B20*B17*B18*B15/8)*2*B21/1024,4)</f>
        <v>432</v>
      </c>
      <c r="C22" s="5"/>
    </row>
  </sheetData>
  <mergeCells count="1">
    <mergeCell ref="A1:C1"/>
  </mergeCells>
  <phoneticPr fontId="2" type="noConversion"/>
  <dataValidations count="2">
    <dataValidation type="list" allowBlank="1" showInputMessage="1" showErrorMessage="1" sqref="B6 B17">
      <formula1>"1,2"</formula1>
    </dataValidation>
    <dataValidation type="list" allowBlank="1" showInputMessage="1" showErrorMessage="1" sqref="B7 B18">
      <formula1>"16,32"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B15" sqref="B15"/>
    </sheetView>
  </sheetViews>
  <sheetFormatPr defaultRowHeight="16.5"/>
  <cols>
    <col min="1" max="1" width="33.75" customWidth="1"/>
    <col min="2" max="2" width="10.25" customWidth="1"/>
  </cols>
  <sheetData>
    <row r="1" spans="1:3">
      <c r="A1" s="179" t="s">
        <v>46</v>
      </c>
      <c r="B1" s="180"/>
      <c r="C1" s="181"/>
    </row>
    <row r="2" spans="1:3" ht="4.1500000000000004" customHeight="1"/>
    <row r="3" spans="1:3">
      <c r="A3" s="88" t="s">
        <v>177</v>
      </c>
      <c r="B3" s="88" t="s">
        <v>1</v>
      </c>
      <c r="C3" s="89" t="s">
        <v>172</v>
      </c>
    </row>
    <row r="4" spans="1:3">
      <c r="A4" s="54" t="s">
        <v>214</v>
      </c>
      <c r="B4" s="6">
        <f>IF(Overview!C42="NO",0,1)</f>
        <v>1</v>
      </c>
      <c r="C4" s="5"/>
    </row>
    <row r="5" spans="1:3">
      <c r="A5" s="54" t="s">
        <v>171</v>
      </c>
      <c r="B5" s="6">
        <f>Overview!C43</f>
        <v>720</v>
      </c>
      <c r="C5" s="5"/>
    </row>
    <row r="6" spans="1:3">
      <c r="A6" s="54" t="s">
        <v>74</v>
      </c>
      <c r="B6" s="6">
        <f>Overview!C44</f>
        <v>576</v>
      </c>
      <c r="C6" s="5"/>
    </row>
    <row r="7" spans="1:3">
      <c r="A7" s="60" t="s">
        <v>4</v>
      </c>
      <c r="B7" s="11">
        <f>Overview!C45</f>
        <v>4</v>
      </c>
      <c r="C7" s="5"/>
    </row>
    <row r="8" spans="1:3">
      <c r="A8" s="54" t="s">
        <v>28</v>
      </c>
      <c r="B8" s="86">
        <v>4096</v>
      </c>
      <c r="C8" s="5"/>
    </row>
    <row r="9" spans="1:3">
      <c r="A9" s="54" t="s">
        <v>173</v>
      </c>
      <c r="B9" s="6">
        <v>1.5</v>
      </c>
      <c r="C9" s="5"/>
    </row>
    <row r="10" spans="1:3">
      <c r="A10" s="54" t="s">
        <v>174</v>
      </c>
      <c r="B10" s="6">
        <v>0.75</v>
      </c>
      <c r="C10" s="5"/>
    </row>
    <row r="11" spans="1:3">
      <c r="A11" s="54" t="s">
        <v>175</v>
      </c>
      <c r="B11" s="6">
        <v>0.3</v>
      </c>
      <c r="C11" s="5"/>
    </row>
    <row r="12" spans="1:3">
      <c r="A12" s="60" t="s">
        <v>27</v>
      </c>
      <c r="B12" s="87">
        <v>7</v>
      </c>
      <c r="C12" s="5"/>
    </row>
    <row r="13" spans="1:3">
      <c r="A13" s="60" t="s">
        <v>215</v>
      </c>
      <c r="B13" s="87">
        <v>2</v>
      </c>
      <c r="C13" s="5"/>
    </row>
    <row r="14" spans="1:3">
      <c r="A14" s="42" t="s">
        <v>176</v>
      </c>
      <c r="B14" s="6">
        <f>CEILING((B5*B6*B9*B10)/1024,4)</f>
        <v>456</v>
      </c>
      <c r="C14" s="5"/>
    </row>
    <row r="15" spans="1:3">
      <c r="A15" s="78" t="s">
        <v>193</v>
      </c>
      <c r="B15" s="85">
        <f>CEILING(B5*B6*B9*B7*B10/1024,4)*B4</f>
        <v>1824</v>
      </c>
      <c r="C15" s="5"/>
    </row>
    <row r="16" spans="1:3">
      <c r="A16" s="78" t="s">
        <v>194</v>
      </c>
      <c r="B16" s="85">
        <f>CEILING((((B5*B6*B9*B11*2)/1024+(B8/8/30)*B12)), 4)*B4</f>
        <v>484</v>
      </c>
      <c r="C16" s="5"/>
    </row>
    <row r="17" spans="1:3">
      <c r="A17" s="43" t="s">
        <v>178</v>
      </c>
      <c r="B17" s="6">
        <f>CEILING((CEILING(B5,64)*CEILING(B6,64)*B9)*1.06/1024, 4)*B4</f>
        <v>688</v>
      </c>
      <c r="C17" s="5"/>
    </row>
    <row r="18" spans="1:3">
      <c r="A18" s="78" t="s">
        <v>179</v>
      </c>
      <c r="B18" s="6">
        <f>B13*B4</f>
        <v>2</v>
      </c>
      <c r="C18" s="5"/>
    </row>
  </sheetData>
  <sheetProtection selectLockedCells="1"/>
  <mergeCells count="1">
    <mergeCell ref="A1:C1"/>
  </mergeCells>
  <phoneticPr fontId="2" type="noConversion"/>
  <pageMargins left="0.7" right="0.7" top="0.75" bottom="0.75" header="0.3" footer="0.3"/>
  <pageSetup paperSize="14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27"/>
  <sheetViews>
    <sheetView workbookViewId="0">
      <selection activeCell="F10" sqref="F10"/>
    </sheetView>
  </sheetViews>
  <sheetFormatPr defaultRowHeight="16.5"/>
  <cols>
    <col min="1" max="1" width="19.375" customWidth="1"/>
    <col min="4" max="4" width="1.125" customWidth="1"/>
    <col min="5" max="5" width="19.875" customWidth="1"/>
    <col min="8" max="8" width="1.125" customWidth="1"/>
    <col min="9" max="9" width="20" customWidth="1"/>
    <col min="12" max="12" width="1" customWidth="1"/>
    <col min="13" max="13" width="19.875" customWidth="1"/>
  </cols>
  <sheetData>
    <row r="1" spans="1:15">
      <c r="A1" s="179" t="s">
        <v>46</v>
      </c>
      <c r="B1" s="180"/>
      <c r="C1" s="181"/>
      <c r="E1" s="179" t="s">
        <v>47</v>
      </c>
      <c r="F1" s="180"/>
      <c r="G1" s="181"/>
      <c r="I1" s="179" t="s">
        <v>208</v>
      </c>
      <c r="J1" s="180"/>
      <c r="K1" s="181"/>
      <c r="M1" s="179" t="s">
        <v>45</v>
      </c>
      <c r="N1" s="180"/>
      <c r="O1" s="181"/>
    </row>
    <row r="2" spans="1:15" ht="3.6" customHeight="1">
      <c r="B2" s="4"/>
      <c r="C2" s="15"/>
      <c r="F2" s="4"/>
      <c r="G2" s="15"/>
      <c r="J2" s="4"/>
      <c r="K2" s="15"/>
      <c r="N2" s="4"/>
      <c r="O2" s="15"/>
    </row>
    <row r="3" spans="1:15" ht="33">
      <c r="A3" s="48" t="s">
        <v>180</v>
      </c>
      <c r="B3" s="49" t="s">
        <v>1</v>
      </c>
      <c r="C3" s="49" t="s">
        <v>78</v>
      </c>
      <c r="E3" s="48" t="s">
        <v>180</v>
      </c>
      <c r="F3" s="49" t="s">
        <v>1</v>
      </c>
      <c r="G3" s="49" t="s">
        <v>78</v>
      </c>
      <c r="I3" s="48" t="s">
        <v>180</v>
      </c>
      <c r="J3" s="49" t="s">
        <v>1</v>
      </c>
      <c r="K3" s="49" t="s">
        <v>78</v>
      </c>
      <c r="M3" s="48" t="s">
        <v>180</v>
      </c>
      <c r="N3" s="49" t="s">
        <v>1</v>
      </c>
      <c r="O3" s="49" t="s">
        <v>78</v>
      </c>
    </row>
    <row r="4" spans="1:15">
      <c r="A4" s="54" t="s">
        <v>182</v>
      </c>
      <c r="B4" s="6">
        <v>1920</v>
      </c>
      <c r="C4" s="5"/>
      <c r="E4" s="54" t="s">
        <v>182</v>
      </c>
      <c r="F4" s="6">
        <v>1920</v>
      </c>
      <c r="G4" s="5"/>
      <c r="I4" s="54" t="s">
        <v>182</v>
      </c>
      <c r="J4" s="6">
        <v>1920</v>
      </c>
      <c r="K4" s="5"/>
      <c r="M4" s="54" t="s">
        <v>182</v>
      </c>
      <c r="N4" s="6">
        <v>1920</v>
      </c>
      <c r="O4" s="5"/>
    </row>
    <row r="5" spans="1:15">
      <c r="A5" s="54" t="s">
        <v>183</v>
      </c>
      <c r="B5" s="6">
        <v>1080</v>
      </c>
      <c r="C5" s="5"/>
      <c r="E5" s="54" t="s">
        <v>183</v>
      </c>
      <c r="F5" s="6">
        <v>1080</v>
      </c>
      <c r="G5" s="5"/>
      <c r="I5" s="54" t="s">
        <v>183</v>
      </c>
      <c r="J5" s="6">
        <v>1080</v>
      </c>
      <c r="K5" s="5"/>
      <c r="M5" s="54" t="s">
        <v>183</v>
      </c>
      <c r="N5" s="6">
        <v>1080</v>
      </c>
      <c r="O5" s="5"/>
    </row>
    <row r="6" spans="1:15">
      <c r="A6" s="54" t="s">
        <v>32</v>
      </c>
      <c r="B6" s="6">
        <f>IF(B5&lt;=1088,16,32)</f>
        <v>16</v>
      </c>
      <c r="C6" s="5"/>
      <c r="E6" s="54" t="s">
        <v>32</v>
      </c>
      <c r="F6" s="6">
        <f>IF(F5&lt;=1088,16,32)</f>
        <v>16</v>
      </c>
      <c r="G6" s="5"/>
      <c r="I6" s="54" t="s">
        <v>32</v>
      </c>
      <c r="J6" s="6">
        <f>IF(J5&lt;=1088,16,32)</f>
        <v>16</v>
      </c>
      <c r="K6" s="5"/>
      <c r="M6" s="54" t="s">
        <v>32</v>
      </c>
      <c r="N6" s="6">
        <f>IF(N5&lt;=1088,16,32)</f>
        <v>16</v>
      </c>
      <c r="O6" s="5"/>
    </row>
    <row r="7" spans="1:15">
      <c r="A7" s="90" t="s">
        <v>33</v>
      </c>
      <c r="B7" s="6">
        <f>(B4/B6)*(B5/B6)*256/8/1024</f>
        <v>253.125</v>
      </c>
      <c r="C7" s="5"/>
      <c r="E7" s="90" t="s">
        <v>33</v>
      </c>
      <c r="F7" s="6">
        <f>(F4/F6)*(F5/F6)*256/8/1024</f>
        <v>253.125</v>
      </c>
      <c r="G7" s="5"/>
      <c r="I7" s="90" t="s">
        <v>33</v>
      </c>
      <c r="J7" s="6">
        <f>(J4/J6)*(J5/J6)*256/8/1024</f>
        <v>253.125</v>
      </c>
      <c r="K7" s="5"/>
      <c r="M7" s="90" t="s">
        <v>33</v>
      </c>
      <c r="N7" s="6">
        <f>(N4/N6)*(N5/N6)*256/8/1024</f>
        <v>253.125</v>
      </c>
      <c r="O7" s="5"/>
    </row>
    <row r="8" spans="1:15">
      <c r="A8" s="90" t="s">
        <v>34</v>
      </c>
      <c r="B8" s="6">
        <f>(256*(B5/B6)*8/8/1024)*2</f>
        <v>33.75</v>
      </c>
      <c r="C8" s="5"/>
      <c r="E8" s="90" t="s">
        <v>34</v>
      </c>
      <c r="F8" s="6">
        <f>(256*(F5/F6)*8/8/1024)*2</f>
        <v>33.75</v>
      </c>
      <c r="G8" s="5"/>
      <c r="I8" s="90" t="s">
        <v>34</v>
      </c>
      <c r="J8" s="6">
        <f>(256*(J5/J6)*8/8/1024)*2</f>
        <v>33.75</v>
      </c>
      <c r="K8" s="5"/>
      <c r="M8" s="90" t="s">
        <v>34</v>
      </c>
      <c r="N8" s="6">
        <f>(256*(N5/N6)*8/8/1024)*2</f>
        <v>33.75</v>
      </c>
      <c r="O8" s="5"/>
    </row>
    <row r="9" spans="1:15">
      <c r="A9" s="78" t="s">
        <v>181</v>
      </c>
      <c r="B9" s="6">
        <f>CEILING(B7+B8+1,4)</f>
        <v>288</v>
      </c>
      <c r="C9" s="5" t="s">
        <v>184</v>
      </c>
      <c r="E9" s="80" t="s">
        <v>181</v>
      </c>
      <c r="F9" s="6">
        <f>CEILING(F7+F8+1,4)</f>
        <v>288</v>
      </c>
      <c r="G9" s="5" t="s">
        <v>184</v>
      </c>
      <c r="I9" s="80" t="s">
        <v>181</v>
      </c>
      <c r="J9" s="6">
        <f>CEILING(J7+J8+1,4)</f>
        <v>288</v>
      </c>
      <c r="K9" s="5" t="s">
        <v>184</v>
      </c>
      <c r="M9" s="80" t="s">
        <v>181</v>
      </c>
      <c r="N9" s="6">
        <f>CEILING(N7+N8+1,4)</f>
        <v>288</v>
      </c>
      <c r="O9" s="5" t="s">
        <v>184</v>
      </c>
    </row>
    <row r="10" spans="1:15">
      <c r="A10" s="80" t="s">
        <v>207</v>
      </c>
      <c r="B10" s="6">
        <f>Overview!C26+Overview!C30+F10+J10+N10</f>
        <v>2</v>
      </c>
      <c r="C10" s="5"/>
      <c r="E10" s="80" t="s">
        <v>207</v>
      </c>
      <c r="F10" s="6">
        <f>IF(OR(Overview!$C$2="315/316",Overview!$C$2="316x2"), Overview!G26+Overview!G30,0)</f>
        <v>0</v>
      </c>
      <c r="G10" s="5"/>
      <c r="I10" s="80" t="s">
        <v>207</v>
      </c>
      <c r="J10" s="6">
        <f>IF(Overview!$C$2="316x2", Overview!K26+Overview!K30,0)</f>
        <v>0</v>
      </c>
      <c r="K10" s="5"/>
      <c r="M10" s="80" t="s">
        <v>207</v>
      </c>
      <c r="N10" s="6">
        <f>IF(Overview!$C$2="316x2", Overview!O26+Overview!O30,0)</f>
        <v>0</v>
      </c>
      <c r="O10" s="5"/>
    </row>
    <row r="13" spans="1:15">
      <c r="A13" s="197" t="s">
        <v>31</v>
      </c>
      <c r="B13" s="197"/>
      <c r="C13" s="197"/>
      <c r="D13" s="197"/>
      <c r="E13" s="197"/>
      <c r="F13" s="197"/>
      <c r="G13" s="197"/>
      <c r="H13" s="197"/>
    </row>
    <row r="14" spans="1:15">
      <c r="A14" s="197"/>
      <c r="B14" s="197"/>
      <c r="C14" s="197"/>
      <c r="D14" s="197"/>
      <c r="E14" s="197"/>
      <c r="F14" s="197"/>
      <c r="G14" s="197"/>
      <c r="H14" s="197"/>
    </row>
    <row r="15" spans="1:15">
      <c r="A15" s="197"/>
      <c r="B15" s="197"/>
      <c r="C15" s="197"/>
      <c r="D15" s="197"/>
      <c r="E15" s="197"/>
      <c r="F15" s="197"/>
      <c r="G15" s="197"/>
      <c r="H15" s="197"/>
    </row>
    <row r="16" spans="1:15">
      <c r="A16" s="197"/>
      <c r="B16" s="197"/>
      <c r="C16" s="197"/>
      <c r="D16" s="197"/>
      <c r="E16" s="197"/>
      <c r="F16" s="197"/>
      <c r="G16" s="197"/>
      <c r="H16" s="197"/>
    </row>
    <row r="17" spans="1:8">
      <c r="A17" s="197"/>
      <c r="B17" s="197"/>
      <c r="C17" s="197"/>
      <c r="D17" s="197"/>
      <c r="E17" s="197"/>
      <c r="F17" s="197"/>
      <c r="G17" s="197"/>
      <c r="H17" s="197"/>
    </row>
    <row r="18" spans="1:8">
      <c r="A18" s="197"/>
      <c r="B18" s="197"/>
      <c r="C18" s="197"/>
      <c r="D18" s="197"/>
      <c r="E18" s="197"/>
      <c r="F18" s="197"/>
      <c r="G18" s="197"/>
      <c r="H18" s="197"/>
    </row>
    <row r="19" spans="1:8">
      <c r="A19" s="197"/>
      <c r="B19" s="197"/>
      <c r="C19" s="197"/>
      <c r="D19" s="197"/>
      <c r="E19" s="197"/>
      <c r="F19" s="197"/>
      <c r="G19" s="197"/>
      <c r="H19" s="197"/>
    </row>
    <row r="20" spans="1:8">
      <c r="A20" s="197"/>
      <c r="B20" s="197"/>
      <c r="C20" s="197"/>
      <c r="D20" s="197"/>
      <c r="E20" s="197"/>
      <c r="F20" s="197"/>
      <c r="G20" s="197"/>
      <c r="H20" s="197"/>
    </row>
    <row r="21" spans="1:8">
      <c r="A21" s="197"/>
      <c r="B21" s="197"/>
      <c r="C21" s="197"/>
      <c r="D21" s="197"/>
      <c r="E21" s="197"/>
      <c r="F21" s="197"/>
      <c r="G21" s="197"/>
      <c r="H21" s="197"/>
    </row>
    <row r="22" spans="1:8">
      <c r="A22" s="197"/>
      <c r="B22" s="197"/>
      <c r="C22" s="197"/>
      <c r="D22" s="197"/>
      <c r="E22" s="197"/>
      <c r="F22" s="197"/>
      <c r="G22" s="197"/>
      <c r="H22" s="197"/>
    </row>
    <row r="23" spans="1:8">
      <c r="A23" s="197"/>
      <c r="B23" s="197"/>
      <c r="C23" s="197"/>
      <c r="D23" s="197"/>
      <c r="E23" s="197"/>
      <c r="F23" s="197"/>
      <c r="G23" s="197"/>
      <c r="H23" s="197"/>
    </row>
    <row r="24" spans="1:8">
      <c r="A24" s="197"/>
      <c r="B24" s="197"/>
      <c r="C24" s="197"/>
      <c r="D24" s="197"/>
      <c r="E24" s="197"/>
      <c r="F24" s="197"/>
      <c r="G24" s="197"/>
      <c r="H24" s="197"/>
    </row>
    <row r="25" spans="1:8">
      <c r="A25" s="197"/>
      <c r="B25" s="197"/>
      <c r="C25" s="197"/>
      <c r="D25" s="197"/>
      <c r="E25" s="197"/>
      <c r="F25" s="197"/>
      <c r="G25" s="197"/>
      <c r="H25" s="197"/>
    </row>
    <row r="26" spans="1:8">
      <c r="A26" s="197"/>
      <c r="B26" s="197"/>
      <c r="C26" s="197"/>
      <c r="D26" s="197"/>
      <c r="E26" s="197"/>
      <c r="F26" s="197"/>
      <c r="G26" s="197"/>
      <c r="H26" s="197"/>
    </row>
    <row r="27" spans="1:8">
      <c r="A27" s="197"/>
      <c r="B27" s="197"/>
      <c r="C27" s="197"/>
      <c r="D27" s="197"/>
      <c r="E27" s="197"/>
      <c r="F27" s="197"/>
      <c r="G27" s="197"/>
      <c r="H27" s="197"/>
    </row>
  </sheetData>
  <mergeCells count="5">
    <mergeCell ref="A1:C1"/>
    <mergeCell ref="A13:H27"/>
    <mergeCell ref="E1:G1"/>
    <mergeCell ref="I1:K1"/>
    <mergeCell ref="M1:O1"/>
  </mergeCells>
  <phoneticPr fontId="2" type="noConversion"/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C15F922-0397-4DFD-AFF4-1ED17E2847CB}">
            <xm:f>NOT(OR(Overview!$C$2="315/316",Overview!$C$2="316x2"))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E1:G10</xm:sqref>
        </x14:conditionalFormatting>
        <x14:conditionalFormatting xmlns:xm="http://schemas.microsoft.com/office/excel/2006/main">
          <x14:cfRule type="expression" priority="1" stopIfTrue="1" id="{F7C1CCF9-5740-4506-9990-26C95250157A}">
            <xm:f>NOT(Overview!$C$2="316x2")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I1:O10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/>
  <dimension ref="B2:H35"/>
  <sheetViews>
    <sheetView workbookViewId="0">
      <selection activeCell="F26" sqref="F26:F28"/>
    </sheetView>
  </sheetViews>
  <sheetFormatPr defaultRowHeight="16.5"/>
  <cols>
    <col min="2" max="2" width="18" customWidth="1"/>
    <col min="3" max="3" width="5" customWidth="1"/>
    <col min="4" max="4" width="16.5" customWidth="1"/>
    <col min="5" max="5" width="6.25" customWidth="1"/>
    <col min="6" max="6" width="16.375" customWidth="1"/>
    <col min="7" max="7" width="6.625" customWidth="1"/>
    <col min="8" max="8" width="16" customWidth="1"/>
  </cols>
  <sheetData>
    <row r="2" spans="2:8">
      <c r="B2" s="41" t="s">
        <v>53</v>
      </c>
      <c r="C2" s="4"/>
      <c r="D2" s="41" t="s">
        <v>59</v>
      </c>
      <c r="E2" s="4"/>
      <c r="F2" s="41" t="s">
        <v>60</v>
      </c>
      <c r="G2" s="4"/>
      <c r="H2" s="41" t="s">
        <v>61</v>
      </c>
    </row>
    <row r="3" spans="2:8" ht="28.15" customHeight="1">
      <c r="B3" s="4"/>
      <c r="C3" s="4"/>
      <c r="D3" s="4"/>
      <c r="E3" s="4"/>
      <c r="F3" s="4"/>
      <c r="G3" s="4"/>
      <c r="H3" s="4"/>
    </row>
    <row r="4" spans="2:8">
      <c r="B4" s="6" t="s">
        <v>54</v>
      </c>
      <c r="C4" s="4"/>
      <c r="D4" s="202" t="s">
        <v>62</v>
      </c>
      <c r="E4" s="4"/>
      <c r="F4" s="6" t="s">
        <v>54</v>
      </c>
      <c r="G4" s="4"/>
      <c r="H4" s="201" t="s">
        <v>57</v>
      </c>
    </row>
    <row r="5" spans="2:8">
      <c r="B5" s="4" t="s">
        <v>69</v>
      </c>
      <c r="C5" s="4"/>
      <c r="D5" s="202"/>
      <c r="E5" s="4"/>
      <c r="F5" s="4" t="s">
        <v>69</v>
      </c>
      <c r="G5" s="4"/>
      <c r="H5" s="201"/>
    </row>
    <row r="6" spans="2:8">
      <c r="B6" s="202" t="s">
        <v>55</v>
      </c>
      <c r="C6" s="4"/>
      <c r="D6" s="202"/>
      <c r="E6" s="4"/>
      <c r="F6" s="198" t="s">
        <v>65</v>
      </c>
      <c r="G6" s="4"/>
      <c r="H6" s="201"/>
    </row>
    <row r="7" spans="2:8">
      <c r="B7" s="202"/>
      <c r="C7" s="4"/>
      <c r="D7" s="4" t="s">
        <v>69</v>
      </c>
      <c r="E7" s="4"/>
      <c r="F7" s="199"/>
      <c r="G7" s="4"/>
      <c r="H7" s="4" t="s">
        <v>69</v>
      </c>
    </row>
    <row r="8" spans="2:8">
      <c r="B8" s="202"/>
      <c r="C8" s="4"/>
      <c r="D8" s="6" t="s">
        <v>63</v>
      </c>
      <c r="E8" s="4"/>
      <c r="F8" s="200"/>
      <c r="G8" s="4"/>
      <c r="H8" s="6" t="s">
        <v>56</v>
      </c>
    </row>
    <row r="9" spans="2:8">
      <c r="B9" s="4" t="s">
        <v>69</v>
      </c>
      <c r="C9" s="4"/>
      <c r="D9" s="4" t="s">
        <v>69</v>
      </c>
      <c r="E9" s="4"/>
      <c r="F9" s="4" t="s">
        <v>69</v>
      </c>
      <c r="G9" s="4"/>
      <c r="H9" s="4" t="s">
        <v>69</v>
      </c>
    </row>
    <row r="10" spans="2:8">
      <c r="B10" s="6" t="s">
        <v>56</v>
      </c>
      <c r="C10" s="4"/>
      <c r="D10" s="202" t="s">
        <v>64</v>
      </c>
      <c r="E10" s="4"/>
      <c r="F10" s="6" t="s">
        <v>66</v>
      </c>
      <c r="G10" s="4"/>
      <c r="H10" s="198" t="s">
        <v>68</v>
      </c>
    </row>
    <row r="11" spans="2:8">
      <c r="B11" s="4" t="s">
        <v>69</v>
      </c>
      <c r="C11" s="4"/>
      <c r="D11" s="202"/>
      <c r="E11" s="4"/>
      <c r="F11" s="4" t="s">
        <v>69</v>
      </c>
      <c r="G11" s="4"/>
      <c r="H11" s="199"/>
    </row>
    <row r="12" spans="2:8">
      <c r="B12" s="201" t="s">
        <v>57</v>
      </c>
      <c r="C12" s="4"/>
      <c r="D12" s="202"/>
      <c r="E12" s="4"/>
      <c r="F12" s="198" t="s">
        <v>67</v>
      </c>
      <c r="G12" s="4"/>
      <c r="H12" s="200"/>
    </row>
    <row r="13" spans="2:8">
      <c r="B13" s="201"/>
      <c r="C13" s="4"/>
      <c r="D13" s="4" t="s">
        <v>69</v>
      </c>
      <c r="E13" s="4"/>
      <c r="F13" s="199"/>
      <c r="G13" s="4"/>
      <c r="H13" s="4" t="s">
        <v>69</v>
      </c>
    </row>
    <row r="14" spans="2:8">
      <c r="B14" s="201"/>
      <c r="C14" s="4"/>
      <c r="D14" s="6" t="s">
        <v>56</v>
      </c>
      <c r="E14" s="4"/>
      <c r="F14" s="200"/>
      <c r="G14" s="4"/>
      <c r="H14" s="6" t="s">
        <v>66</v>
      </c>
    </row>
    <row r="15" spans="2:8">
      <c r="B15" s="4" t="s">
        <v>69</v>
      </c>
      <c r="C15" s="4"/>
      <c r="D15" s="4" t="s">
        <v>69</v>
      </c>
      <c r="E15" s="4"/>
      <c r="F15" s="4"/>
      <c r="G15" s="4"/>
      <c r="H15" s="4" t="s">
        <v>69</v>
      </c>
    </row>
    <row r="16" spans="2:8">
      <c r="B16" s="6" t="s">
        <v>58</v>
      </c>
      <c r="C16" s="4"/>
      <c r="D16" s="202" t="s">
        <v>57</v>
      </c>
      <c r="E16" s="4"/>
      <c r="F16" s="4"/>
      <c r="G16" s="4"/>
      <c r="H16" s="198" t="s">
        <v>67</v>
      </c>
    </row>
    <row r="17" spans="2:8">
      <c r="B17" s="4"/>
      <c r="C17" s="4"/>
      <c r="D17" s="202"/>
      <c r="E17" s="4"/>
      <c r="F17" s="4"/>
      <c r="G17" s="4"/>
      <c r="H17" s="199"/>
    </row>
    <row r="18" spans="2:8">
      <c r="B18" s="4"/>
      <c r="C18" s="4"/>
      <c r="D18" s="202"/>
      <c r="E18" s="4"/>
      <c r="F18" s="6" t="s">
        <v>54</v>
      </c>
      <c r="G18" s="4"/>
      <c r="H18" s="200"/>
    </row>
    <row r="19" spans="2:8">
      <c r="B19" s="4"/>
      <c r="C19" s="4"/>
      <c r="D19" s="4" t="s">
        <v>69</v>
      </c>
      <c r="E19" s="4"/>
      <c r="F19" s="4" t="s">
        <v>69</v>
      </c>
      <c r="G19" s="4"/>
      <c r="H19" s="4"/>
    </row>
    <row r="20" spans="2:8">
      <c r="B20" s="4"/>
      <c r="C20" s="4"/>
      <c r="D20" s="6" t="s">
        <v>58</v>
      </c>
      <c r="E20" s="4"/>
      <c r="F20" s="198" t="s">
        <v>65</v>
      </c>
      <c r="G20" s="4"/>
      <c r="H20" s="4"/>
    </row>
    <row r="21" spans="2:8">
      <c r="F21" s="199"/>
    </row>
    <row r="22" spans="2:8">
      <c r="F22" s="200"/>
    </row>
    <row r="23" spans="2:8">
      <c r="F23" s="4" t="s">
        <v>69</v>
      </c>
    </row>
    <row r="24" spans="2:8">
      <c r="F24" s="6" t="s">
        <v>196</v>
      </c>
    </row>
    <row r="25" spans="2:8">
      <c r="F25" s="4" t="s">
        <v>69</v>
      </c>
    </row>
    <row r="26" spans="2:8">
      <c r="F26" s="198" t="s">
        <v>197</v>
      </c>
    </row>
    <row r="27" spans="2:8">
      <c r="F27" s="199"/>
    </row>
    <row r="28" spans="2:8">
      <c r="F28" s="200"/>
    </row>
    <row r="29" spans="2:8">
      <c r="F29" s="4" t="s">
        <v>69</v>
      </c>
    </row>
    <row r="30" spans="2:8">
      <c r="F30" s="6" t="s">
        <v>66</v>
      </c>
    </row>
    <row r="31" spans="2:8">
      <c r="F31" s="4" t="s">
        <v>69</v>
      </c>
    </row>
    <row r="32" spans="2:8">
      <c r="F32" s="198" t="s">
        <v>67</v>
      </c>
    </row>
    <row r="33" spans="6:6">
      <c r="F33" s="199"/>
    </row>
    <row r="34" spans="6:6">
      <c r="F34" s="200"/>
    </row>
    <row r="35" spans="6:6">
      <c r="F35" s="4"/>
    </row>
  </sheetData>
  <mergeCells count="13">
    <mergeCell ref="B6:B8"/>
    <mergeCell ref="B12:B14"/>
    <mergeCell ref="D4:D6"/>
    <mergeCell ref="D10:D12"/>
    <mergeCell ref="D16:D18"/>
    <mergeCell ref="F20:F22"/>
    <mergeCell ref="F26:F28"/>
    <mergeCell ref="F32:F34"/>
    <mergeCell ref="H4:H6"/>
    <mergeCell ref="H10:H12"/>
    <mergeCell ref="H16:H18"/>
    <mergeCell ref="F6:F8"/>
    <mergeCell ref="F12:F14"/>
  </mergeCells>
  <phoneticPr fontId="2" type="noConversion"/>
  <pageMargins left="0.7" right="0.7" top="0.75" bottom="0.75" header="0.3" footer="0.3"/>
  <pageSetup paperSize="1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已命名的範圍</vt:lpstr>
      </vt:variant>
      <vt:variant>
        <vt:i4>1</vt:i4>
      </vt:variant>
    </vt:vector>
  </HeadingPairs>
  <TitlesOfParts>
    <vt:vector size="10" baseType="lpstr">
      <vt:lpstr>Overview</vt:lpstr>
      <vt:lpstr>Pool Memory</vt:lpstr>
      <vt:lpstr>Display</vt:lpstr>
      <vt:lpstr>Encode</vt:lpstr>
      <vt:lpstr>Decode</vt:lpstr>
      <vt:lpstr>Audio</vt:lpstr>
      <vt:lpstr>DispEncode</vt:lpstr>
      <vt:lpstr>MotionDetection</vt:lpstr>
      <vt:lpstr>Video Flow</vt:lpstr>
      <vt:lpstr>aa</vt:lpstr>
    </vt:vector>
  </TitlesOfParts>
  <Company>novatek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Ivan_Wang@novatek.com.tw</dc:creator>
  <cp:lastModifiedBy>Jerry Chien(簡志龍)</cp:lastModifiedBy>
  <cp:lastPrinted>2015-06-23T13:06:42Z</cp:lastPrinted>
  <dcterms:created xsi:type="dcterms:W3CDTF">2013-05-30T12:41:03Z</dcterms:created>
  <dcterms:modified xsi:type="dcterms:W3CDTF">2020-01-31T00:38:48Z</dcterms:modified>
</cp:coreProperties>
</file>